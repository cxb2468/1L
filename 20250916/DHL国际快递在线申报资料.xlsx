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activeTab="6"/>
  </bookViews>
  <sheets>
    <sheet name="出口货物报关单" sheetId="5" r:id="rId1"/>
    <sheet name="报关委托书" sheetId="2" r:id="rId2"/>
    <sheet name="装箱单" sheetId="8" r:id="rId3"/>
    <sheet name="货物运输安全保证函2份" sheetId="6" r:id="rId4"/>
    <sheet name="发票2份" sheetId="11" r:id="rId5"/>
    <sheet name="唛头1份" sheetId="10" r:id="rId6"/>
    <sheet name="源数据" sheetId="9" r:id="rId7"/>
  </sheets>
  <definedNames>
    <definedName name="_xlnm.Print_Area" localSheetId="1">报关委托书!$A$1:$G$51</definedName>
    <definedName name="_xlnm.Print_Area" localSheetId="0">出口货物报关单!$A$1:$Q$45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1" i="9" l="1"/>
  <c r="A6" i="5" l="1"/>
  <c r="G30" i="8" l="1"/>
  <c r="B18" i="2"/>
  <c r="G12" i="5"/>
  <c r="F12" i="5" l="1"/>
  <c r="A15" i="11" l="1"/>
  <c r="E42" i="11"/>
  <c r="F30" i="11"/>
  <c r="D30" i="11"/>
  <c r="A7" i="11"/>
  <c r="A7" i="8"/>
  <c r="H19" i="11"/>
  <c r="B1" i="9"/>
  <c r="H13" i="8" s="1"/>
  <c r="G13" i="11" l="1"/>
  <c r="B8" i="10"/>
  <c r="B4" i="10"/>
  <c r="B2" i="10"/>
  <c r="F41" i="11" l="1"/>
  <c r="G30" i="11"/>
  <c r="B17" i="2"/>
  <c r="B14" i="2"/>
  <c r="D38" i="8"/>
  <c r="B20" i="2" l="1"/>
  <c r="B13" i="2"/>
  <c r="B12" i="2"/>
  <c r="B19" i="2"/>
  <c r="G18" i="5"/>
  <c r="B16" i="2"/>
  <c r="D30" i="8" l="1"/>
  <c r="F30" i="8"/>
  <c r="H21" i="8"/>
  <c r="H3" i="5" l="1"/>
  <c r="B15" i="2"/>
  <c r="L3" i="5"/>
  <c r="B11" i="6"/>
  <c r="B9" i="6"/>
  <c r="B4" i="6"/>
  <c r="H18" i="5"/>
  <c r="E12" i="5"/>
  <c r="A12" i="5"/>
  <c r="L18" i="5"/>
  <c r="K10" i="5"/>
  <c r="G10" i="5"/>
  <c r="E10" i="5" s="1"/>
  <c r="K6" i="5"/>
  <c r="G37" i="8" l="1"/>
  <c r="F37" i="8"/>
</calcChain>
</file>

<file path=xl/sharedStrings.xml><?xml version="1.0" encoding="utf-8"?>
<sst xmlns="http://schemas.openxmlformats.org/spreadsheetml/2006/main" count="294" uniqueCount="246">
  <si>
    <t>中华人民共和国海关出口货物报关单</t>
    <phoneticPr fontId="3" type="noConversion"/>
  </si>
  <si>
    <t>预录入编号：</t>
  </si>
  <si>
    <t/>
  </si>
  <si>
    <t>海关编号：</t>
  </si>
  <si>
    <t>页码/页数：</t>
  </si>
  <si>
    <t>境内发货人</t>
  </si>
  <si>
    <t>出境关别</t>
  </si>
  <si>
    <t>备案号</t>
  </si>
  <si>
    <t>上海海关</t>
    <phoneticPr fontId="3" type="noConversion"/>
  </si>
  <si>
    <t>/</t>
    <phoneticPr fontId="3" type="noConversion"/>
  </si>
  <si>
    <t>境外收货人</t>
  </si>
  <si>
    <t>运输方式</t>
  </si>
  <si>
    <t>运输工具名称及航次号</t>
  </si>
  <si>
    <t>邮递运输</t>
    <phoneticPr fontId="3" type="noConversion"/>
  </si>
  <si>
    <t>生产销售单位</t>
  </si>
  <si>
    <t>监管方式</t>
  </si>
  <si>
    <t>征免性质</t>
  </si>
  <si>
    <t>许可证号</t>
  </si>
  <si>
    <t>张家港大塚化学有限公司91320592766512130Y</t>
    <phoneticPr fontId="3" type="noConversion"/>
  </si>
  <si>
    <r>
      <t>货样广告品</t>
    </r>
    <r>
      <rPr>
        <sz val="10"/>
        <color indexed="10"/>
        <rFont val="宋体"/>
        <family val="3"/>
        <charset val="134"/>
      </rPr>
      <t>A</t>
    </r>
    <phoneticPr fontId="3" type="noConversion"/>
  </si>
  <si>
    <t>一般征税</t>
    <phoneticPr fontId="3" type="noConversion"/>
  </si>
  <si>
    <t>合同协议号</t>
  </si>
  <si>
    <t>贸易国(地区)</t>
  </si>
  <si>
    <t>运抵国(地区)</t>
  </si>
  <si>
    <t>指运港</t>
  </si>
  <si>
    <t>离境口岸</t>
  </si>
  <si>
    <t>上海浦东</t>
    <phoneticPr fontId="3" type="noConversion"/>
  </si>
  <si>
    <t>包装种类</t>
  </si>
  <si>
    <t>件数</t>
  </si>
  <si>
    <t>毛重(千克)</t>
  </si>
  <si>
    <t>净重(千克)</t>
  </si>
  <si>
    <t>成交方式</t>
  </si>
  <si>
    <t>运费</t>
  </si>
  <si>
    <t>保费</t>
  </si>
  <si>
    <t>杂费</t>
  </si>
  <si>
    <t>FCA</t>
    <phoneticPr fontId="3" type="noConversion"/>
  </si>
  <si>
    <t>/</t>
    <phoneticPr fontId="3" type="noConversion"/>
  </si>
  <si>
    <t>随附单证</t>
  </si>
  <si>
    <t>标记唛码及备注</t>
  </si>
  <si>
    <t>N/M</t>
    <phoneticPr fontId="3" type="noConversion"/>
  </si>
  <si>
    <t>项号</t>
  </si>
  <si>
    <t>商品编号</t>
  </si>
  <si>
    <t>商品名称及规格型号</t>
  </si>
  <si>
    <t>数量及单位</t>
  </si>
  <si>
    <t>单价/总价/币制</t>
  </si>
  <si>
    <t>原产国(地区)</t>
  </si>
  <si>
    <t>境内货源地</t>
  </si>
  <si>
    <t>征免</t>
  </si>
  <si>
    <t>中国</t>
    <phoneticPr fontId="3" type="noConversion"/>
  </si>
  <si>
    <t>张家港其他</t>
    <phoneticPr fontId="3" type="noConversion"/>
  </si>
  <si>
    <t>照章征税</t>
    <phoneticPr fontId="3" type="noConversion"/>
  </si>
  <si>
    <t>特殊关系确认：</t>
  </si>
  <si>
    <t>是</t>
    <phoneticPr fontId="3" type="noConversion"/>
  </si>
  <si>
    <t>价格影响确认：</t>
  </si>
  <si>
    <t>否</t>
    <phoneticPr fontId="3" type="noConversion"/>
  </si>
  <si>
    <t>支付特许权使用费确认：</t>
  </si>
  <si>
    <t>自报自缴：</t>
  </si>
  <si>
    <t>报关人员</t>
    <phoneticPr fontId="3" type="noConversion"/>
  </si>
  <si>
    <t>报关人员证号</t>
    <phoneticPr fontId="3" type="noConversion"/>
  </si>
  <si>
    <t>电话</t>
    <phoneticPr fontId="3" type="noConversion"/>
  </si>
  <si>
    <t>兹申明对以上内容承担如实申报、依法纳税责任</t>
    <phoneticPr fontId="3" type="noConversion"/>
  </si>
  <si>
    <t>海关批注及签章</t>
  </si>
  <si>
    <t>申报单位</t>
  </si>
  <si>
    <t>申报单位(签章)</t>
  </si>
  <si>
    <r>
      <rPr>
        <sz val="22"/>
        <rFont val="黑体"/>
        <family val="3"/>
      </rPr>
      <t xml:space="preserve">货物运输安全保证函
</t>
    </r>
    <r>
      <rPr>
        <sz val="22"/>
        <rFont val="黑体"/>
        <family val="3"/>
      </rPr>
      <t>Cargo Safety Transportation Guarantee</t>
    </r>
  </si>
  <si>
    <r>
      <rPr>
        <sz val="14"/>
        <rFont val="宋体"/>
        <family val="3"/>
        <charset val="134"/>
      </rPr>
      <t>发件公司</t>
    </r>
    <r>
      <rPr>
        <sz val="12"/>
        <rFont val="Arial"/>
        <family val="2"/>
      </rPr>
      <t>shipper</t>
    </r>
  </si>
  <si>
    <r>
      <rPr>
        <sz val="14"/>
        <rFont val="Arial"/>
        <family val="2"/>
      </rPr>
      <t>Zhangjiagang otsukc chemical co ltd</t>
    </r>
  </si>
  <si>
    <r>
      <rPr>
        <sz val="14"/>
        <rFont val="宋体"/>
        <family val="3"/>
        <charset val="134"/>
      </rPr>
      <t>生产厂家</t>
    </r>
    <r>
      <rPr>
        <sz val="12"/>
        <rFont val="Arial"/>
        <family val="2"/>
      </rPr>
      <t>Manufacturer</t>
    </r>
  </si>
  <si>
    <r>
      <rPr>
        <sz val="14"/>
        <rFont val="宋体"/>
        <family val="3"/>
        <charset val="134"/>
      </rPr>
      <t xml:space="preserve">运单号 </t>
    </r>
    <r>
      <rPr>
        <sz val="12"/>
        <rFont val="Arial"/>
        <family val="2"/>
      </rPr>
      <t>Air Waybill NO.</t>
    </r>
  </si>
  <si>
    <r>
      <rPr>
        <sz val="14"/>
        <rFont val="宋体"/>
        <family val="3"/>
        <charset val="134"/>
      </rPr>
      <t xml:space="preserve">货物品名（中文）
</t>
    </r>
    <r>
      <rPr>
        <sz val="12"/>
        <rFont val="Arial"/>
        <family val="2"/>
      </rPr>
      <t>Shipments Details</t>
    </r>
    <r>
      <rPr>
        <sz val="12"/>
        <rFont val="宋体"/>
        <family val="3"/>
        <charset val="134"/>
      </rPr>
      <t>（</t>
    </r>
    <r>
      <rPr>
        <sz val="12"/>
        <rFont val="Arial"/>
        <family val="2"/>
      </rPr>
      <t>Chinese</t>
    </r>
    <r>
      <rPr>
        <sz val="12"/>
        <rFont val="宋体"/>
        <family val="3"/>
        <charset val="134"/>
      </rPr>
      <t>）</t>
    </r>
  </si>
  <si>
    <r>
      <rPr>
        <sz val="14"/>
        <rFont val="宋体"/>
        <family val="3"/>
        <charset val="134"/>
      </rPr>
      <t>钛酸钾</t>
    </r>
  </si>
  <si>
    <r>
      <rPr>
        <sz val="14"/>
        <rFont val="宋体"/>
        <family val="3"/>
        <charset val="134"/>
      </rPr>
      <t xml:space="preserve">货物品名（英文）
</t>
    </r>
    <r>
      <rPr>
        <sz val="12"/>
        <rFont val="Arial"/>
        <family val="2"/>
      </rPr>
      <t>Shipments Details</t>
    </r>
    <r>
      <rPr>
        <sz val="12"/>
        <rFont val="宋体"/>
        <family val="3"/>
        <charset val="134"/>
      </rPr>
      <t>（</t>
    </r>
    <r>
      <rPr>
        <sz val="12"/>
        <rFont val="Arial"/>
        <family val="2"/>
      </rPr>
      <t>English</t>
    </r>
    <r>
      <rPr>
        <sz val="12"/>
        <rFont val="宋体"/>
        <family val="3"/>
        <charset val="134"/>
      </rPr>
      <t>）</t>
    </r>
  </si>
  <si>
    <r>
      <rPr>
        <sz val="10.5"/>
        <rFont val="Arial"/>
        <family val="2"/>
      </rPr>
      <t>POTASSIUM TITANIUM OXIDE</t>
    </r>
    <r>
      <rPr>
        <sz val="10.5"/>
        <rFont val="宋体"/>
        <family val="3"/>
        <charset val="134"/>
      </rPr>
      <t>（</t>
    </r>
    <r>
      <rPr>
        <sz val="10.5"/>
        <rFont val="Arial"/>
        <family val="2"/>
      </rPr>
      <t>TERRACESS</t>
    </r>
    <r>
      <rPr>
        <sz val="10.5"/>
        <rFont val="宋体"/>
        <family val="3"/>
        <charset val="134"/>
      </rPr>
      <t>）</t>
    </r>
  </si>
  <si>
    <r>
      <rPr>
        <sz val="14"/>
        <rFont val="宋体"/>
        <family val="3"/>
        <charset val="134"/>
      </rPr>
      <t xml:space="preserve">货物运输条件鉴定书编号：
</t>
    </r>
    <r>
      <rPr>
        <sz val="12"/>
        <rFont val="Arial"/>
        <family val="2"/>
      </rPr>
      <t xml:space="preserve">Certification      No.      For      Safe
</t>
    </r>
    <r>
      <rPr>
        <sz val="12"/>
        <rFont val="Arial"/>
        <family val="2"/>
      </rPr>
      <t>Transportation of Chemical Goods</t>
    </r>
  </si>
  <si>
    <r>
      <rPr>
        <sz val="14"/>
        <rFont val="宋体"/>
        <family val="3"/>
        <charset val="134"/>
      </rPr>
      <t xml:space="preserve">签发日期：
</t>
    </r>
    <r>
      <rPr>
        <sz val="12"/>
        <rFont val="Arial"/>
        <family val="2"/>
      </rPr>
      <t>Valid Date</t>
    </r>
  </si>
  <si>
    <r>
      <rPr>
        <sz val="14"/>
        <rFont val="宋体"/>
        <family val="3"/>
        <charset val="134"/>
      </rPr>
      <t xml:space="preserve">鉴定结果
</t>
    </r>
    <r>
      <rPr>
        <sz val="12"/>
        <rFont val="Arial"/>
        <family val="2"/>
      </rPr>
      <t>Transportation Information</t>
    </r>
  </si>
  <si>
    <r>
      <rPr>
        <sz val="14"/>
        <rFont val="宋体"/>
        <family val="3"/>
        <charset val="134"/>
      </rPr>
      <t>普通货物</t>
    </r>
  </si>
  <si>
    <r>
      <rPr>
        <sz val="14"/>
        <rFont val="宋体"/>
        <family val="3"/>
        <charset val="134"/>
      </rPr>
      <t>包装</t>
    </r>
    <r>
      <rPr>
        <sz val="12"/>
        <rFont val="Arial"/>
        <family val="2"/>
      </rPr>
      <t>Packaging</t>
    </r>
  </si>
  <si>
    <r>
      <rPr>
        <sz val="14"/>
        <rFont val="宋体"/>
        <family val="3"/>
        <charset val="134"/>
      </rPr>
      <t>始发地</t>
    </r>
    <r>
      <rPr>
        <sz val="14"/>
        <rFont val="Arial"/>
        <family val="2"/>
      </rPr>
      <t>/</t>
    </r>
    <r>
      <rPr>
        <sz val="14"/>
        <rFont val="宋体"/>
        <family val="3"/>
        <charset val="134"/>
      </rPr>
      <t>地址</t>
    </r>
    <r>
      <rPr>
        <sz val="12"/>
        <rFont val="Arial"/>
        <family val="2"/>
      </rPr>
      <t>Origin Address</t>
    </r>
  </si>
  <si>
    <r>
      <rPr>
        <sz val="14"/>
        <rFont val="宋体"/>
        <family val="3"/>
        <charset val="134"/>
      </rPr>
      <t>目的地</t>
    </r>
    <r>
      <rPr>
        <sz val="14"/>
        <rFont val="Arial"/>
        <family val="2"/>
      </rPr>
      <t>/</t>
    </r>
    <r>
      <rPr>
        <sz val="14"/>
        <rFont val="宋体"/>
        <family val="3"/>
        <charset val="134"/>
      </rPr>
      <t>地址</t>
    </r>
    <r>
      <rPr>
        <sz val="12"/>
        <rFont val="Arial"/>
        <family val="2"/>
      </rPr>
      <t>Destination Address</t>
    </r>
  </si>
  <si>
    <r>
      <rPr>
        <sz val="14"/>
        <rFont val="宋体"/>
        <family val="3"/>
        <charset val="134"/>
      </rPr>
      <t xml:space="preserve">送样单位（公章）
</t>
    </r>
    <r>
      <rPr>
        <sz val="12"/>
        <rFont val="Arial"/>
        <family val="2"/>
      </rPr>
      <t>Shipper(Stamp)</t>
    </r>
  </si>
  <si>
    <r>
      <rPr>
        <sz val="14"/>
        <rFont val="宋体"/>
        <family val="3"/>
        <charset val="134"/>
      </rPr>
      <t xml:space="preserve">生产单位（公章）
</t>
    </r>
    <r>
      <rPr>
        <sz val="12"/>
        <rFont val="Arial"/>
        <family val="2"/>
      </rPr>
      <t>Manufacturer(Stamp)</t>
    </r>
  </si>
  <si>
    <t>张家港扬子江国际化学工业园南海路</t>
    <phoneticPr fontId="2" type="noConversion"/>
  </si>
  <si>
    <t>Zhangjiagang Otsuka Chemical Co., Ltd.</t>
  </si>
  <si>
    <t>Sender:</t>
  </si>
  <si>
    <t>Packing List</t>
  </si>
  <si>
    <t xml:space="preserve">Nanhai Road,Yangtze River International Chemical </t>
  </si>
  <si>
    <t>Industrial Park Zhangjiagang City, Jiangsu Province</t>
  </si>
  <si>
    <t>Zhangjiagang</t>
  </si>
  <si>
    <t>China</t>
  </si>
  <si>
    <t>Phone:86-512-56907600</t>
  </si>
  <si>
    <t>Fax:86-512-56907616</t>
  </si>
  <si>
    <t>Receiver:</t>
  </si>
  <si>
    <t>Date:</t>
  </si>
  <si>
    <t>Otsuka Chemical Co., Ltd.</t>
  </si>
  <si>
    <t>Mr.Hamauzu Takashi</t>
    <phoneticPr fontId="3" type="noConversion"/>
  </si>
  <si>
    <t>Invoice Number:</t>
  </si>
  <si>
    <t>463 Kagasuno,Kawauchi-cho</t>
  </si>
  <si>
    <t>Shipment Reference:</t>
  </si>
  <si>
    <t>Tokushima 771-0193,Japan</t>
  </si>
  <si>
    <t>Comments:</t>
  </si>
  <si>
    <t>PC:771-0193</t>
  </si>
  <si>
    <t>Air Waybill Number:</t>
  </si>
  <si>
    <t>TEL:+81-88-665-5909</t>
  </si>
  <si>
    <t>FAX:+81-88-665-1540</t>
  </si>
  <si>
    <t xml:space="preserve">Full Description of Goods </t>
  </si>
  <si>
    <t>QTY</t>
  </si>
  <si>
    <t>commodity</t>
  </si>
  <si>
    <t>Net Weight(kg)</t>
    <phoneticPr fontId="3" type="noConversion"/>
  </si>
  <si>
    <t>Gross Weight(KG)</t>
  </si>
  <si>
    <t>country of maufacture</t>
  </si>
  <si>
    <t>POTASSIUM TITANIUM OXIDE(TERRACESS)</t>
    <phoneticPr fontId="3" type="noConversion"/>
  </si>
  <si>
    <t>CHINA</t>
  </si>
  <si>
    <t xml:space="preserve">Total :   </t>
  </si>
  <si>
    <t>Payer of Gst/VAT</t>
  </si>
  <si>
    <t>Harm.Comm.Code:</t>
  </si>
  <si>
    <t>Type of Export:</t>
  </si>
  <si>
    <t>Terms of Trade:</t>
  </si>
  <si>
    <t>Terms of Payment:</t>
  </si>
  <si>
    <t>Reason For Export:</t>
  </si>
  <si>
    <r>
      <t>I/we</t>
    </r>
    <r>
      <rPr>
        <sz val="6"/>
        <rFont val="宋体"/>
        <family val="3"/>
        <charset val="134"/>
      </rPr>
      <t xml:space="preserve"> </t>
    </r>
    <r>
      <rPr>
        <sz val="7.5"/>
        <rFont val="宋体"/>
        <family val="3"/>
        <charset val="134"/>
      </rPr>
      <t>hereby</t>
    </r>
    <r>
      <rPr>
        <sz val="6"/>
        <rFont val="宋体"/>
        <family val="3"/>
        <charset val="134"/>
      </rPr>
      <t xml:space="preserve"> </t>
    </r>
    <r>
      <rPr>
        <sz val="7.5"/>
        <rFont val="宋体"/>
        <family val="3"/>
        <charset val="134"/>
      </rPr>
      <t>certify</t>
    </r>
    <r>
      <rPr>
        <sz val="6"/>
        <rFont val="宋体"/>
        <family val="3"/>
        <charset val="134"/>
      </rPr>
      <t xml:space="preserve"> </t>
    </r>
    <r>
      <rPr>
        <sz val="7.5"/>
        <rFont val="宋体"/>
        <family val="3"/>
        <charset val="134"/>
      </rPr>
      <t>that</t>
    </r>
    <r>
      <rPr>
        <sz val="6"/>
        <rFont val="宋体"/>
        <family val="3"/>
        <charset val="134"/>
      </rPr>
      <t xml:space="preserve"> </t>
    </r>
    <r>
      <rPr>
        <sz val="7.5"/>
        <rFont val="宋体"/>
        <family val="3"/>
        <charset val="134"/>
      </rPr>
      <t xml:space="preserve">the information of this invoice is true n correct n that the contents of this shipment are as stated above </t>
    </r>
  </si>
  <si>
    <t>Signature:</t>
  </si>
  <si>
    <t>position in company:</t>
  </si>
  <si>
    <t>Shipping Consultant</t>
  </si>
  <si>
    <t>company Stamp:</t>
  </si>
  <si>
    <t>日期</t>
    <phoneticPr fontId="2" type="noConversion"/>
  </si>
  <si>
    <t>提运单号</t>
    <phoneticPr fontId="2" type="noConversion"/>
  </si>
  <si>
    <t>最终目的国(地区)</t>
    <phoneticPr fontId="2" type="noConversion"/>
  </si>
  <si>
    <t>最终目的国(地区)</t>
    <phoneticPr fontId="2" type="noConversion"/>
  </si>
  <si>
    <t>包装类型</t>
    <phoneticPr fontId="2" type="noConversion"/>
  </si>
  <si>
    <t>数量</t>
    <phoneticPr fontId="2" type="noConversion"/>
  </si>
  <si>
    <t>纸箱</t>
    <phoneticPr fontId="2" type="noConversion"/>
  </si>
  <si>
    <t>总价</t>
    <phoneticPr fontId="2" type="noConversion"/>
  </si>
  <si>
    <t xml:space="preserve">出口日期 </t>
    <phoneticPr fontId="3" type="noConversion"/>
  </si>
  <si>
    <t xml:space="preserve">申报日期  </t>
    <phoneticPr fontId="3" type="noConversion"/>
  </si>
  <si>
    <r>
      <rPr>
        <sz val="14"/>
        <rFont val="Arial"/>
        <family val="2"/>
      </rPr>
      <t xml:space="preserve">      </t>
    </r>
    <r>
      <rPr>
        <sz val="14"/>
        <rFont val="宋体"/>
        <family val="3"/>
        <charset val="134"/>
      </rPr>
      <t>我公司委托</t>
    </r>
    <r>
      <rPr>
        <u/>
        <sz val="14"/>
        <rFont val="Times New Roman"/>
        <family val="1"/>
      </rPr>
      <t>                </t>
    </r>
    <r>
      <rPr>
        <sz val="14"/>
        <rFont val="Arial"/>
        <family val="2"/>
      </rPr>
      <t>DHL</t>
    </r>
    <r>
      <rPr>
        <u/>
        <sz val="14"/>
        <rFont val="Times New Roman"/>
        <family val="1"/>
      </rPr>
      <t>                                               </t>
    </r>
    <r>
      <rPr>
        <sz val="14"/>
        <rFont val="宋体"/>
        <family val="3"/>
        <charset val="134"/>
      </rPr>
      <t>承运的该类货物，无爆炸、无氧化、无腐蚀、无放射性、非易燃、非有毒有害、非用于制造化学武器的原料，经</t>
    </r>
    <r>
      <rPr>
        <u/>
        <sz val="14"/>
        <rFont val="Times New Roman"/>
        <family val="1"/>
      </rPr>
      <t>           </t>
    </r>
    <r>
      <rPr>
        <u/>
        <sz val="14"/>
        <rFont val="宋体"/>
        <family val="3"/>
        <charset val="134"/>
      </rPr>
      <t>上海化工研究院检测中心    </t>
    </r>
    <r>
      <rPr>
        <sz val="14"/>
        <rFont val="宋体"/>
        <family val="3"/>
        <charset val="134"/>
      </rPr>
      <t xml:space="preserve">鉴定，无危险性，可按普通货物条件运输，包装符合要求。
</t>
    </r>
    <r>
      <rPr>
        <sz val="14"/>
        <rFont val="Arial"/>
        <family val="2"/>
      </rPr>
      <t xml:space="preserve">      </t>
    </r>
    <r>
      <rPr>
        <sz val="12"/>
        <rFont val="Arial"/>
        <family val="2"/>
      </rPr>
      <t>The shipment that I  consign  by</t>
    </r>
    <r>
      <rPr>
        <u/>
        <sz val="12"/>
        <rFont val="Times New Roman"/>
        <family val="1"/>
      </rPr>
      <t>       </t>
    </r>
    <r>
      <rPr>
        <sz val="12"/>
        <rFont val="Arial"/>
        <family val="2"/>
      </rPr>
      <t>DHL</t>
    </r>
    <r>
      <rPr>
        <u/>
        <sz val="12"/>
        <rFont val="Times New Roman"/>
        <family val="1"/>
      </rPr>
      <t>                     </t>
    </r>
    <r>
      <rPr>
        <sz val="12"/>
        <rFont val="Times New Roman"/>
        <family val="1"/>
      </rPr>
      <t xml:space="preserve"> </t>
    </r>
    <r>
      <rPr>
        <sz val="12"/>
        <rFont val="Arial"/>
        <family val="2"/>
      </rPr>
      <t xml:space="preserve">does  not contain  the explosive, oxidation,  corrosives,  radioactive,  flammable,  toxic  and  infectious  substance  and  the material for the chemical weapon. After </t>
    </r>
    <r>
      <rPr>
        <u/>
        <sz val="12"/>
        <rFont val="Arial"/>
        <family val="2"/>
      </rPr>
      <t>shanghai research institute of chemical industry</t>
    </r>
    <r>
      <rPr>
        <sz val="12"/>
        <rFont val="Arial"/>
        <family val="2"/>
      </rPr>
      <t xml:space="preserve"> </t>
    </r>
    <r>
      <rPr>
        <u/>
        <sz val="12"/>
        <rFont val="Arial"/>
        <family val="2"/>
      </rPr>
      <t>testing  centre        </t>
    </r>
    <r>
      <rPr>
        <sz val="12"/>
        <rFont val="Arial"/>
        <family val="2"/>
      </rPr>
      <t>testing,  the  shipment  without  fatalness  can  be  transported  as  the
general cargo and the packaging meets the transportation requirement.</t>
    </r>
    <phoneticPr fontId="2" type="noConversion"/>
  </si>
  <si>
    <r>
      <rPr>
        <sz val="14"/>
        <rFont val="Arial"/>
        <family val="2"/>
      </rPr>
      <t xml:space="preserve">        </t>
    </r>
    <r>
      <rPr>
        <sz val="14"/>
        <rFont val="宋体"/>
        <family val="3"/>
        <charset val="134"/>
      </rPr>
      <t xml:space="preserve">我公司以上申报属实，若由于我公司申报不符，而造成运输过程中的一切损伤，我公司承担一切法律责任和经济赔偿。
</t>
    </r>
    <r>
      <rPr>
        <sz val="14"/>
        <rFont val="Arial"/>
        <family val="2"/>
      </rPr>
      <t xml:space="preserve">         </t>
    </r>
    <r>
      <rPr>
        <sz val="12"/>
        <rFont val="Arial"/>
        <family val="2"/>
      </rPr>
      <t>I  guarantee  the  truth of  above  information,  or  I  will  take  full  responsibilities  for  the result caused by the fake declared information.</t>
    </r>
    <phoneticPr fontId="2" type="noConversion"/>
  </si>
  <si>
    <r>
      <rPr>
        <sz val="10.5"/>
        <rFont val="宋体"/>
        <family val="3"/>
        <charset val="134"/>
      </rPr>
      <t>注：</t>
    </r>
    <r>
      <rPr>
        <sz val="10.5"/>
        <rFont val="Arial"/>
        <family val="2"/>
      </rPr>
      <t>1</t>
    </r>
    <r>
      <rPr>
        <sz val="10.5"/>
        <rFont val="宋体"/>
        <family val="3"/>
        <charset val="134"/>
      </rPr>
      <t xml:space="preserve">、上述表格务必字迹端正，认真填写。
</t>
    </r>
    <r>
      <rPr>
        <sz val="10.5"/>
        <rFont val="Arial"/>
        <family val="2"/>
      </rPr>
      <t xml:space="preserve">       1</t>
    </r>
    <r>
      <rPr>
        <sz val="10.5"/>
        <rFont val="宋体"/>
        <family val="3"/>
        <charset val="134"/>
      </rPr>
      <t>、</t>
    </r>
    <r>
      <rPr>
        <sz val="10.5"/>
        <rFont val="Arial"/>
        <family val="2"/>
      </rPr>
      <t xml:space="preserve">Please carefully and properly fill the blank.                                                                                                  </t>
    </r>
    <r>
      <rPr>
        <sz val="10.5"/>
        <rFont val="宋体"/>
        <family val="3"/>
        <charset val="134"/>
      </rPr>
      <t xml:space="preserve">
</t>
    </r>
    <r>
      <rPr>
        <sz val="10.5"/>
        <rFont val="Arial"/>
        <family val="2"/>
      </rPr>
      <t xml:space="preserve">       2</t>
    </r>
    <r>
      <rPr>
        <sz val="10.5"/>
        <rFont val="宋体"/>
        <family val="3"/>
        <charset val="134"/>
      </rPr>
      <t xml:space="preserve">、如有争议，以中文申明为准！
</t>
    </r>
    <r>
      <rPr>
        <sz val="10.5"/>
        <rFont val="Arial"/>
        <family val="2"/>
      </rPr>
      <t xml:space="preserve">       2</t>
    </r>
    <r>
      <rPr>
        <sz val="10.5"/>
        <rFont val="宋体"/>
        <family val="3"/>
        <charset val="134"/>
      </rPr>
      <t>、</t>
    </r>
    <r>
      <rPr>
        <sz val="10.5"/>
        <rFont val="Arial"/>
        <family val="2"/>
      </rPr>
      <t xml:space="preserve">if disputation occurs, the criterion bases on the Chinese guarantee. </t>
    </r>
    <phoneticPr fontId="2" type="noConversion"/>
  </si>
  <si>
    <t>委托方</t>
    <phoneticPr fontId="2" type="noConversion"/>
  </si>
  <si>
    <t>主要货物名称</t>
    <phoneticPr fontId="2" type="noConversion"/>
  </si>
  <si>
    <t>HS编码</t>
    <phoneticPr fontId="2" type="noConversion"/>
  </si>
  <si>
    <t>进/出口日期</t>
    <phoneticPr fontId="2" type="noConversion"/>
  </si>
  <si>
    <t>提（运）单号</t>
    <phoneticPr fontId="2" type="noConversion"/>
  </si>
  <si>
    <t>贸易方式</t>
    <phoneticPr fontId="2" type="noConversion"/>
  </si>
  <si>
    <t>数（重）量</t>
    <phoneticPr fontId="2" type="noConversion"/>
  </si>
  <si>
    <t>包装情况</t>
    <phoneticPr fontId="2" type="noConversion"/>
  </si>
  <si>
    <t>原产地/货源地</t>
    <phoneticPr fontId="2" type="noConversion"/>
  </si>
  <si>
    <t>其他要求：</t>
    <phoneticPr fontId="2" type="noConversion"/>
  </si>
  <si>
    <t>背面所列通用条款是本协议不可分割的一部分，对本协议的签署构成了对背面通用条款的同意。</t>
    <phoneticPr fontId="2" type="noConversion"/>
  </si>
  <si>
    <t>委托方签章：</t>
    <phoneticPr fontId="2" type="noConversion"/>
  </si>
  <si>
    <t>被委托方</t>
    <phoneticPr fontId="2" type="noConversion"/>
  </si>
  <si>
    <t>*报关单编码</t>
    <phoneticPr fontId="2" type="noConversion"/>
  </si>
  <si>
    <t>No.</t>
    <phoneticPr fontId="2" type="noConversion"/>
  </si>
  <si>
    <t>收到单证日期</t>
    <phoneticPr fontId="2" type="noConversion"/>
  </si>
  <si>
    <t>收到单证情况</t>
    <phoneticPr fontId="2" type="noConversion"/>
  </si>
  <si>
    <t>其他</t>
    <phoneticPr fontId="2" type="noConversion"/>
  </si>
  <si>
    <t>报关收费</t>
    <phoneticPr fontId="2" type="noConversion"/>
  </si>
  <si>
    <t>承诺说明：</t>
    <phoneticPr fontId="2" type="noConversion"/>
  </si>
  <si>
    <t>背面所列通用条款是本协议不可分割的一部分，对本协议的签署构成了对背面通用条款的同意。</t>
    <phoneticPr fontId="2" type="noConversion"/>
  </si>
  <si>
    <t>被委托方签章：</t>
    <phoneticPr fontId="2" type="noConversion"/>
  </si>
  <si>
    <t>报关人员签名：</t>
    <phoneticPr fontId="2" type="noConversion"/>
  </si>
  <si>
    <t>联系电话：</t>
    <phoneticPr fontId="2" type="noConversion"/>
  </si>
  <si>
    <t>联系电话：</t>
    <phoneticPr fontId="2" type="noConversion"/>
  </si>
  <si>
    <t>经办人签字：</t>
    <phoneticPr fontId="2" type="noConversion"/>
  </si>
  <si>
    <t>为明确委托报关具体事项和各自责任，双方经平等协商签定协议如下：</t>
    <phoneticPr fontId="2" type="noConversion"/>
  </si>
  <si>
    <t>委托报关协议</t>
    <phoneticPr fontId="2" type="noConversion"/>
  </si>
  <si>
    <t xml:space="preserve">       我单位保证遵守海关有关法律、法规、规章，保证所提供的情况真实、完整、单货相符，无侵犯他人知识产权的行为。否则，愿承担相关法律责任。</t>
    <phoneticPr fontId="2" type="noConversion"/>
  </si>
  <si>
    <t xml:space="preserve">        我单位现         (A逐票、B长期)委托贵公司代理        等通关事宜。〔A、填单申报 B、申请、联系和配合实施检验检疫 C、辅助查验 D、代缴税款 E、设立手册（账册）F、核销手册（账册）G、领取海关相关单证 H、其他〕详见《委托报关协议》</t>
    <phoneticPr fontId="2" type="noConversion"/>
  </si>
  <si>
    <t>代理报关委托书</t>
    <phoneticPr fontId="2" type="noConversion"/>
  </si>
  <si>
    <t xml:space="preserve">                                                                                                                                        年    月    日</t>
    <phoneticPr fontId="2" type="noConversion"/>
  </si>
  <si>
    <t xml:space="preserve">              法定代表人或其授权签署《代理报关委托书》的人（签字）</t>
    <phoneticPr fontId="2" type="noConversion"/>
  </si>
  <si>
    <t xml:space="preserve">                                                                                   委托方（盖章）</t>
    <phoneticPr fontId="2" type="noConversion"/>
  </si>
  <si>
    <t xml:space="preserve">                                                                                                   编号：</t>
    <phoneticPr fontId="2" type="noConversion"/>
  </si>
  <si>
    <t xml:space="preserve">      本委托书有效期自签字之日起至           年     月     日止。</t>
    <phoneticPr fontId="2" type="noConversion"/>
  </si>
  <si>
    <t>合同□</t>
    <phoneticPr fontId="2" type="noConversion"/>
  </si>
  <si>
    <t>发票□</t>
    <phoneticPr fontId="2" type="noConversion"/>
  </si>
  <si>
    <t>装箱清单□</t>
    <phoneticPr fontId="2" type="noConversion"/>
  </si>
  <si>
    <t>提(运)单□</t>
    <phoneticPr fontId="2" type="noConversion"/>
  </si>
  <si>
    <t>加工贸易手册□</t>
    <phoneticPr fontId="2" type="noConversion"/>
  </si>
  <si>
    <t>许可证件□</t>
    <phoneticPr fontId="2" type="noConversion"/>
  </si>
  <si>
    <t>人民币：                              元</t>
    <phoneticPr fontId="2" type="noConversion"/>
  </si>
  <si>
    <t xml:space="preserve">                                                                                                                                                                             中国报关协会监制</t>
    <phoneticPr fontId="2" type="noConversion"/>
  </si>
  <si>
    <t>委托报关协议通用条款</t>
    <phoneticPr fontId="2" type="noConversion"/>
  </si>
  <si>
    <t>委托方责任</t>
    <phoneticPr fontId="2" type="noConversion"/>
  </si>
  <si>
    <t>被委托方责任</t>
    <phoneticPr fontId="2" type="noConversion"/>
  </si>
  <si>
    <t xml:space="preserve">       委托方应及时提供报关所须的全部单证，并对单证的真实性、准确性和完整性负责，并保证没有侵犯他人知识产权的行为。</t>
    <phoneticPr fontId="2" type="noConversion"/>
  </si>
  <si>
    <t xml:space="preserve">      委托方负责在报关企业办结海关手续后，及时、履约支付代理报关费用，支付垫支费用，以及因委托方责任产生的滞报金、滞纳金和海关等执法单位依法处以的各种罚款。</t>
    <phoneticPr fontId="2" type="noConversion"/>
  </si>
  <si>
    <t xml:space="preserve">      负责按照海关要求将货物运抵指定场所。</t>
    <phoneticPr fontId="2" type="noConversion"/>
  </si>
  <si>
    <t xml:space="preserve">      负责与被委托方报关人员一同协助海关进行查验，回答海关的询问，配合相关调查，并承担产生的相关费用。</t>
    <phoneticPr fontId="2" type="noConversion"/>
  </si>
  <si>
    <t xml:space="preserve">    在被委托方无法做到报关前提取货样的情况下，承担单货相符的责任。</t>
    <phoneticPr fontId="2" type="noConversion"/>
  </si>
  <si>
    <t xml:space="preserve">       负责对委托方提供的货物情况和单证的真实性、完整性进行“合理审查”，审查内容包括：（一）证明进出口货物实际情况的资料，包括进出口货物的品名、规格、数（重）量、包装情况、用途、产地、贸易方式等；（二）有关进出口货物的合同、发票、运输单据、装箱单等商业单据；（三）进出口所需的许可证件及随附单证；（四）海关要求的加工贸易（纸质或电子数据的）及其其他进出口单证。</t>
    <phoneticPr fontId="2" type="noConversion"/>
  </si>
  <si>
    <t xml:space="preserve">      因确定货物的品名、归类等原因，经海关批准，可以看货或提取货样。</t>
    <phoneticPr fontId="2" type="noConversion"/>
  </si>
  <si>
    <t xml:space="preserve">      负责及时通知委托方共同协助海关进行查验，并配合海关开展相关调查。</t>
    <phoneticPr fontId="2" type="noConversion"/>
  </si>
  <si>
    <t xml:space="preserve">      在接到委托方交付齐备的随附单证后，负责依据委托方提供的单证，按照《中华人民共和国海关进出口报关单填制规范》认真填制报关单，承担“单单相符”的责任，在海关规定和本委托报关协议中约定的时间内报关，办理海关手续。</t>
    <phoneticPr fontId="2" type="noConversion"/>
  </si>
  <si>
    <t xml:space="preserve">     负责支付因报关企业的责任给委托方造成的直接经济损失，所产生的滞报金、滞纳金和海关等执法单位依法处以的各种罚款。</t>
    <phoneticPr fontId="2" type="noConversion"/>
  </si>
  <si>
    <t xml:space="preserve">     负责在本委托书约定的时间内将办结海关手续的有关委托内容的单证、文件交还委托方或其指定的人员（详见《委托报关协议》“其他要求”栏），并如实告知委托方有关货物的后续检验检疫及监管要求。</t>
    <phoneticPr fontId="2" type="noConversion"/>
  </si>
  <si>
    <t xml:space="preserve">      赔偿原则被委托方不承担因不可抗力给委托方造成损失的责任。因其他过失造成的损失，由双方自行约定或按国家有关法律、法规、规章的规定办理。由此造成的风险，委托方可以投保方式自行规避。</t>
    <phoneticPr fontId="2" type="noConversion"/>
  </si>
  <si>
    <t xml:space="preserve">       不承担的责任签约双方各自不承担因另外一方原因造成的直接经济损失，以及滞报金、滞纳金和相关罚款。</t>
    <phoneticPr fontId="2" type="noConversion"/>
  </si>
  <si>
    <t xml:space="preserve">      法律强制本《委托报关协议》的任一条款与海关有关法律、法规、规章不一致时，应以法律、法规、规章为准。但不影响《委托报关协议》其他条款的有效。</t>
    <phoneticPr fontId="2" type="noConversion"/>
  </si>
  <si>
    <t xml:space="preserve">       协商解决事项变更、中止本协议或双方发生争议时，按照《中华人民共和国合同法》有关规定及程序处理。因签约双方以外的原因产生的问题或报关业务需要修改协议条款，应协商订立补充协议。双方可以在法律、法规、规章准许的范围内另行签署补充条款，但补充条款不得与本协议的内容相抵触。</t>
    <phoneticPr fontId="2" type="noConversion"/>
  </si>
  <si>
    <t xml:space="preserve">       负责解答委托方有关向海关申报的疑问。</t>
    <phoneticPr fontId="2" type="noConversion"/>
  </si>
  <si>
    <t>自动获取</t>
    <phoneticPr fontId="2" type="noConversion"/>
  </si>
  <si>
    <t>张家港大塚化学有限公司</t>
    <phoneticPr fontId="2" type="noConversion"/>
  </si>
  <si>
    <t>钛酸钾（钛拉塞斯）</t>
    <phoneticPr fontId="2" type="noConversion"/>
  </si>
  <si>
    <t>贸易方式</t>
    <phoneticPr fontId="2" type="noConversion"/>
  </si>
  <si>
    <t>HS编码</t>
    <phoneticPr fontId="2" type="noConversion"/>
  </si>
  <si>
    <t>2841900090</t>
    <phoneticPr fontId="3" type="noConversion"/>
  </si>
  <si>
    <t>FCA</t>
    <phoneticPr fontId="2" type="noConversion"/>
  </si>
  <si>
    <t>英文品名：</t>
    <phoneticPr fontId="2" type="noConversion"/>
  </si>
  <si>
    <t>生产单位：</t>
    <phoneticPr fontId="2" type="noConversion"/>
  </si>
  <si>
    <t>用途：</t>
    <phoneticPr fontId="2" type="noConversion"/>
  </si>
  <si>
    <t>物理性状：</t>
    <phoneticPr fontId="2" type="noConversion"/>
  </si>
  <si>
    <t>运单号</t>
    <phoneticPr fontId="2" type="noConversion"/>
  </si>
  <si>
    <t>ZHANGJIAGANG OTSUKA CHEMICAL CO.,LTD.</t>
    <phoneticPr fontId="2" type="noConversion"/>
  </si>
  <si>
    <t>主要用作汽车刹车片的添加材料</t>
    <phoneticPr fontId="2" type="noConversion"/>
  </si>
  <si>
    <t>中文品名：</t>
    <phoneticPr fontId="2" type="noConversion"/>
  </si>
  <si>
    <t>POTASSIUM TITANIUM OXIDE (TERRACESS)</t>
    <phoneticPr fontId="2" type="noConversion"/>
  </si>
  <si>
    <t>生产单位英文：</t>
    <phoneticPr fontId="2" type="noConversion"/>
  </si>
  <si>
    <t>白色粉沫</t>
    <phoneticPr fontId="2" type="noConversion"/>
  </si>
  <si>
    <t>Invoice</t>
  </si>
  <si>
    <t>OTSUKA CHEMICAL CO., LTD.</t>
  </si>
  <si>
    <t>463,KAGASUNO KAWAUCHI-CHO,TOKUSHIMA</t>
  </si>
  <si>
    <t>TEL:0081-88-665-5909</t>
  </si>
  <si>
    <t>FAX:0081-88-665-1540</t>
  </si>
  <si>
    <t>Bill to Third party</t>
  </si>
  <si>
    <t>Unit Value</t>
  </si>
  <si>
    <t>TERRACESS</t>
  </si>
  <si>
    <t xml:space="preserve"> </t>
  </si>
  <si>
    <t xml:space="preserve">Total Declared Value:   </t>
  </si>
  <si>
    <t>Total pieces:  1</t>
  </si>
  <si>
    <t>Currency Code: ＵＳＤ</t>
  </si>
  <si>
    <t xml:space="preserve">I/we hereby certify that the information of this invoice is true and correct and that the contents of this shipment are as stated above </t>
  </si>
  <si>
    <t>单价</t>
    <phoneticPr fontId="2" type="noConversion"/>
  </si>
  <si>
    <t>Subtotal value</t>
    <phoneticPr fontId="2" type="noConversion"/>
  </si>
  <si>
    <t>寄件人</t>
    <phoneticPr fontId="2" type="noConversion"/>
  </si>
  <si>
    <t>收件人</t>
    <phoneticPr fontId="2" type="noConversion"/>
  </si>
  <si>
    <t xml:space="preserve">钛酸钾（钛拉塞斯）/白色粉末，成分：钛酸钾99%，水分&lt;1%，分子式：K2Ti6O13,CAS NO.12056-51-8 境内收购品牌  享受优惠关税 </t>
    <phoneticPr fontId="3" type="noConversion"/>
  </si>
  <si>
    <t>张家港</t>
    <phoneticPr fontId="2" type="noConversion"/>
  </si>
  <si>
    <t>净重</t>
    <phoneticPr fontId="2" type="noConversion"/>
  </si>
  <si>
    <t>毛重</t>
    <phoneticPr fontId="2" type="noConversion"/>
  </si>
  <si>
    <t>日本</t>
    <phoneticPr fontId="2" type="noConversion"/>
  </si>
  <si>
    <t>境外收货人</t>
    <phoneticPr fontId="2" type="noConversion"/>
  </si>
  <si>
    <t>OTSUKA CHEMICAL CO LTD</t>
  </si>
  <si>
    <t>DHL9072950143</t>
    <phoneticPr fontId="2" type="noConversion"/>
  </si>
  <si>
    <t>guxiaojuan</t>
    <phoneticPr fontId="2" type="noConversion"/>
  </si>
  <si>
    <t>Mr. OGAWA TAKASHI</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</si>
</sst>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24" formatCode="\$#,##0_);[Red]\(\$#,##0\)"/>
    <numFmt numFmtId="176" formatCode="#,##0.0000_);[Red]\(#,##0.0000\)"/>
    <numFmt numFmtId="177" formatCode="0.00_);[Red]\(0.00\)"/>
    <numFmt numFmtId="178" formatCode="\$#,##0.0_);[Red]\(\$#,##0.0\)"/>
  </numFmts>
  <fonts count="46">
    <font>
      <sz val="11"/>
      <color theme="1"/>
      <name val="等线"/>
      <family val="2"/>
      <scheme val="minor"/>
    </font>
    <font>
      <sz val="12"/>
      <name val="宋体"/>
      <family val="3"/>
      <charset val="134"/>
    </font>
    <font>
      <sz val="9"/>
      <name val="等线"/>
      <family val="3"/>
      <charset val="134"/>
      <scheme val="minor"/>
    </font>
    <font>
      <sz val="9"/>
      <name val="宋体"/>
      <family val="3"/>
      <charset val="134"/>
    </font>
    <font>
      <sz val="12"/>
      <name val="宋体"/>
      <family val="3"/>
      <charset val="134"/>
    </font>
    <font>
      <sz val="11"/>
      <color theme="1"/>
      <name val="等线"/>
      <family val="3"/>
      <charset val="134"/>
      <scheme val="minor"/>
    </font>
    <font>
      <b/>
      <sz val="16"/>
      <color theme="1"/>
      <name val="MingLiU"/>
      <family val="1"/>
      <charset val="136"/>
    </font>
    <font>
      <b/>
      <sz val="18"/>
      <color theme="1"/>
      <name val="MingLiU"/>
      <family val="1"/>
      <charset val="136"/>
    </font>
    <font>
      <b/>
      <sz val="10"/>
      <color theme="1"/>
      <name val="等线"/>
      <family val="3"/>
      <charset val="134"/>
      <scheme val="minor"/>
    </font>
    <font>
      <sz val="11"/>
      <color rgb="FFFF0000"/>
      <name val="等线"/>
      <family val="3"/>
      <charset val="134"/>
      <scheme val="minor"/>
    </font>
    <font>
      <b/>
      <sz val="10"/>
      <name val="等线"/>
      <family val="3"/>
      <charset val="134"/>
      <scheme val="minor"/>
    </font>
    <font>
      <sz val="10"/>
      <color theme="1"/>
      <name val="等线"/>
      <family val="3"/>
      <charset val="134"/>
      <scheme val="minor"/>
    </font>
    <font>
      <sz val="10"/>
      <color indexed="10"/>
      <name val="宋体"/>
      <family val="3"/>
      <charset val="134"/>
    </font>
    <font>
      <sz val="10"/>
      <color rgb="FFFF0000"/>
      <name val="等线"/>
      <family val="3"/>
      <charset val="134"/>
      <scheme val="minor"/>
    </font>
    <font>
      <b/>
      <sz val="10"/>
      <color rgb="FFFF0000"/>
      <name val="等线"/>
      <family val="3"/>
      <charset val="134"/>
      <scheme val="minor"/>
    </font>
    <font>
      <sz val="10"/>
      <color rgb="FF000000"/>
      <name val="Times New Roman"/>
      <family val="1"/>
    </font>
    <font>
      <sz val="22"/>
      <name val="黑体"/>
      <family val="3"/>
    </font>
    <font>
      <sz val="14"/>
      <name val="宋体"/>
      <family val="3"/>
      <charset val="134"/>
    </font>
    <font>
      <sz val="12"/>
      <name val="Arial"/>
      <family val="2"/>
    </font>
    <font>
      <sz val="14"/>
      <name val="Arial"/>
      <family val="2"/>
    </font>
    <font>
      <sz val="10.5"/>
      <name val="Arial"/>
      <family val="2"/>
    </font>
    <font>
      <sz val="10.5"/>
      <name val="宋体"/>
      <family val="3"/>
      <charset val="134"/>
    </font>
    <font>
      <sz val="14"/>
      <color rgb="FF000000"/>
      <name val="Arial"/>
      <family val="2"/>
    </font>
    <font>
      <u/>
      <sz val="14"/>
      <name val="Times New Roman"/>
      <family val="1"/>
    </font>
    <font>
      <u/>
      <sz val="14"/>
      <name val="宋体"/>
      <family val="3"/>
      <charset val="134"/>
    </font>
    <font>
      <u/>
      <sz val="12"/>
      <name val="Times New Roman"/>
      <family val="1"/>
    </font>
    <font>
      <sz val="12"/>
      <name val="Times New Roman"/>
      <family val="1"/>
    </font>
    <font>
      <u/>
      <sz val="12"/>
      <name val="Arial"/>
      <family val="2"/>
    </font>
    <font>
      <sz val="10"/>
      <name val="Times New Roman"/>
      <family val="1"/>
    </font>
    <font>
      <sz val="10"/>
      <name val="宋体"/>
      <family val="3"/>
      <charset val="134"/>
    </font>
    <font>
      <sz val="18"/>
      <name val="宋体"/>
      <family val="3"/>
      <charset val="134"/>
    </font>
    <font>
      <sz val="36"/>
      <name val="宋体"/>
      <family val="3"/>
      <charset val="134"/>
    </font>
    <font>
      <sz val="7.5"/>
      <name val="宋体"/>
      <family val="3"/>
      <charset val="134"/>
    </font>
    <font>
      <sz val="6"/>
      <name val="宋体"/>
      <family val="3"/>
      <charset val="134"/>
    </font>
    <font>
      <sz val="7"/>
      <name val="宋体"/>
      <family val="3"/>
      <charset val="134"/>
    </font>
    <font>
      <sz val="10.5"/>
      <name val="Times New Roman"/>
      <family val="1"/>
    </font>
    <font>
      <sz val="22"/>
      <color theme="1"/>
      <name val="等线"/>
      <family val="2"/>
      <scheme val="minor"/>
    </font>
    <font>
      <sz val="22"/>
      <color theme="1"/>
      <name val="等线"/>
      <family val="3"/>
      <charset val="134"/>
      <scheme val="minor"/>
    </font>
    <font>
      <sz val="9"/>
      <color theme="1"/>
      <name val="等线"/>
      <family val="2"/>
      <scheme val="minor"/>
    </font>
    <font>
      <sz val="9"/>
      <color theme="1"/>
      <name val="等线"/>
      <family val="3"/>
      <charset val="134"/>
      <scheme val="minor"/>
    </font>
    <font>
      <sz val="16"/>
      <color theme="1"/>
      <name val="等线"/>
      <family val="2"/>
      <scheme val="minor"/>
    </font>
    <font>
      <sz val="16"/>
      <color theme="1"/>
      <name val="等线"/>
      <family val="3"/>
      <charset val="134"/>
      <scheme val="minor"/>
    </font>
    <font>
      <sz val="20"/>
      <color theme="1"/>
      <name val="宋体"/>
      <family val="3"/>
      <charset val="134"/>
    </font>
    <font>
      <b/>
      <u/>
      <sz val="18"/>
      <color theme="1"/>
      <name val="宋体"/>
      <family val="3"/>
      <charset val="134"/>
    </font>
    <font>
      <b/>
      <sz val="18"/>
      <color theme="1"/>
      <name val="宋体"/>
      <family val="3"/>
      <charset val="134"/>
    </font>
    <font>
      <sz val="11"/>
      <color indexed="8"/>
      <name val="ＭＳ Ｐゴシック"/>
      <family val="2"/>
    </font>
  </fonts>
  <fills count="6">
    <fill>
      <patternFill patternType="none"/>
    </fill>
    <fill>
      <patternFill patternType="gray125"/>
    </fill>
    <fill>
      <patternFill patternType="solid">
        <fgColor rgb="FF00B050"/>
        <bgColor indexed="64"/>
      </patternFill>
    </fill>
    <fill>
      <patternFill patternType="solid">
        <fgColor theme="0"/>
        <bgColor indexed="64"/>
      </patternFill>
    </fill>
    <fill>
      <patternFill patternType="solid">
        <fgColor rgb="FFFFC000"/>
        <bgColor indexed="64"/>
      </patternFill>
    </fill>
    <fill>
      <patternFill patternType="solid">
        <fgColor rgb="FFFFFF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indexed="64"/>
      </left>
      <right style="thin">
        <color indexed="64"/>
      </right>
      <top/>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s>
  <cellStyleXfs count="7">
    <xf numFmtId="0" fontId="0" fillId="0" borderId="0"/>
    <xf numFmtId="0" fontId="1" fillId="0" borderId="0">
      <alignment vertical="center"/>
    </xf>
    <xf numFmtId="0" fontId="5" fillId="0" borderId="0">
      <alignment vertical="center"/>
    </xf>
    <xf numFmtId="0" fontId="15" fillId="0" borderId="0"/>
    <xf numFmtId="0" fontId="4" fillId="0" borderId="0"/>
    <xf numFmtId="0" fontId="4" fillId="0" borderId="0">
      <alignment vertical="center"/>
    </xf>
    <xf numFmtId="0" fontId="45" fillId="0" borderId="0">
      <alignment vertical="center"/>
    </xf>
  </cellStyleXfs>
  <cellXfs count="314">
    <xf numFmtId="0" fontId="0" fillId="0" borderId="0" xfId="0"/>
    <xf numFmtId="0" fontId="6" fillId="0" borderId="0" xfId="2" applyFont="1" applyAlignment="1">
      <alignment horizontal="center" vertical="center"/>
    </xf>
    <xf numFmtId="0" fontId="5" fillId="0" borderId="0" xfId="2">
      <alignment vertical="center"/>
    </xf>
    <xf numFmtId="0" fontId="8" fillId="0" borderId="4" xfId="2" applyFont="1" applyBorder="1" applyAlignment="1">
      <alignment horizontal="center" vertical="top"/>
    </xf>
    <xf numFmtId="0" fontId="8" fillId="0" borderId="0" xfId="2" applyFont="1" applyAlignment="1">
      <alignment vertical="top"/>
    </xf>
    <xf numFmtId="0" fontId="8" fillId="0" borderId="8" xfId="2" applyFont="1" applyBorder="1">
      <alignment vertical="center"/>
    </xf>
    <xf numFmtId="0" fontId="8" fillId="0" borderId="9" xfId="2" applyFont="1" applyBorder="1">
      <alignment vertical="center"/>
    </xf>
    <xf numFmtId="0" fontId="8" fillId="0" borderId="5" xfId="2" applyFont="1" applyBorder="1">
      <alignment vertical="center"/>
    </xf>
    <xf numFmtId="0" fontId="8" fillId="0" borderId="5" xfId="2" applyFont="1" applyBorder="1" applyAlignment="1">
      <alignment horizontal="left" vertical="center"/>
    </xf>
    <xf numFmtId="0" fontId="8" fillId="0" borderId="6" xfId="2" applyFont="1" applyBorder="1" applyAlignment="1">
      <alignment horizontal="left" vertical="center"/>
    </xf>
    <xf numFmtId="49" fontId="11" fillId="0" borderId="9" xfId="2" applyNumberFormat="1" applyFont="1" applyBorder="1" applyAlignment="1">
      <alignment horizontal="center" vertical="center"/>
    </xf>
    <xf numFmtId="0" fontId="8" fillId="0" borderId="9" xfId="2" applyFont="1" applyBorder="1" applyAlignment="1">
      <alignment horizontal="left" vertical="center"/>
    </xf>
    <xf numFmtId="0" fontId="10" fillId="0" borderId="5" xfId="2" applyFont="1" applyBorder="1" applyAlignment="1">
      <alignment horizontal="left" vertical="center"/>
    </xf>
    <xf numFmtId="0" fontId="8" fillId="0" borderId="12" xfId="2" applyFont="1" applyBorder="1">
      <alignment vertical="center"/>
    </xf>
    <xf numFmtId="0" fontId="5" fillId="2" borderId="13" xfId="2" applyFill="1" applyBorder="1" applyAlignment="1">
      <alignment horizontal="left" vertical="center"/>
    </xf>
    <xf numFmtId="0" fontId="9" fillId="0" borderId="10" xfId="2" applyFont="1" applyBorder="1" applyAlignment="1">
      <alignment horizontal="left" vertical="center"/>
    </xf>
    <xf numFmtId="0" fontId="5" fillId="0" borderId="11" xfId="2" applyBorder="1" applyAlignment="1">
      <alignment horizontal="center" vertical="center"/>
    </xf>
    <xf numFmtId="0" fontId="8" fillId="0" borderId="5" xfId="2" applyFont="1" applyBorder="1" applyAlignment="1">
      <alignment vertical="center"/>
    </xf>
    <xf numFmtId="0" fontId="8" fillId="0" borderId="6" xfId="2" applyFont="1" applyBorder="1" applyAlignment="1">
      <alignment vertical="center"/>
    </xf>
    <xf numFmtId="0" fontId="8" fillId="0" borderId="2" xfId="2" applyFont="1" applyBorder="1" applyAlignment="1">
      <alignment horizontal="center" vertical="center"/>
    </xf>
    <xf numFmtId="0" fontId="8" fillId="0" borderId="3" xfId="2" applyFont="1" applyBorder="1" applyAlignment="1">
      <alignment horizontal="center" vertical="center"/>
    </xf>
    <xf numFmtId="0" fontId="8" fillId="0" borderId="14" xfId="2" applyFont="1" applyBorder="1" applyAlignment="1">
      <alignment horizontal="center" vertical="center"/>
    </xf>
    <xf numFmtId="0" fontId="8" fillId="0" borderId="2" xfId="2" applyFont="1" applyBorder="1">
      <alignment vertical="center"/>
    </xf>
    <xf numFmtId="0" fontId="8" fillId="0" borderId="3" xfId="2" applyFont="1" applyBorder="1">
      <alignment vertical="center"/>
    </xf>
    <xf numFmtId="0" fontId="8" fillId="0" borderId="3" xfId="2" applyFont="1" applyBorder="1" applyAlignment="1">
      <alignment horizontal="right" vertical="center"/>
    </xf>
    <xf numFmtId="0" fontId="10" fillId="0" borderId="14" xfId="2" applyFont="1" applyBorder="1">
      <alignment vertical="center"/>
    </xf>
    <xf numFmtId="0" fontId="8" fillId="0" borderId="6" xfId="2" applyFont="1" applyBorder="1" applyAlignment="1">
      <alignment horizontal="right" vertical="center"/>
    </xf>
    <xf numFmtId="0" fontId="8" fillId="0" borderId="8" xfId="2" applyFont="1" applyBorder="1" applyAlignment="1">
      <alignment horizontal="left" vertical="center"/>
    </xf>
    <xf numFmtId="0" fontId="8" fillId="0" borderId="0" xfId="2" applyFont="1" applyBorder="1" applyAlignment="1">
      <alignment horizontal="left" vertical="center"/>
    </xf>
    <xf numFmtId="0" fontId="8" fillId="0" borderId="4" xfId="2" applyFont="1" applyBorder="1" applyAlignment="1">
      <alignment horizontal="left" vertical="center"/>
    </xf>
    <xf numFmtId="0" fontId="15" fillId="0" borderId="0" xfId="3" applyFill="1" applyBorder="1" applyAlignment="1">
      <alignment vertical="top" wrapText="1"/>
    </xf>
    <xf numFmtId="0" fontId="15" fillId="0" borderId="0" xfId="3" applyFill="1" applyBorder="1" applyAlignment="1">
      <alignment horizontal="left" vertical="top"/>
    </xf>
    <xf numFmtId="0" fontId="15" fillId="0" borderId="0" xfId="3" applyFill="1" applyBorder="1" applyAlignment="1">
      <alignment horizontal="left" wrapText="1"/>
    </xf>
    <xf numFmtId="0" fontId="15" fillId="0" borderId="0" xfId="3" applyFill="1" applyBorder="1" applyAlignment="1">
      <alignment horizontal="left" vertical="center" wrapText="1"/>
    </xf>
    <xf numFmtId="0" fontId="15" fillId="0" borderId="0" xfId="3" applyFill="1" applyBorder="1" applyAlignment="1">
      <alignment horizontal="left" vertical="top" wrapText="1"/>
    </xf>
    <xf numFmtId="0" fontId="29" fillId="0" borderId="0" xfId="4" applyFont="1" applyFill="1"/>
    <xf numFmtId="0" fontId="30" fillId="0" borderId="0" xfId="4" applyFont="1" applyFill="1"/>
    <xf numFmtId="0" fontId="4" fillId="0" borderId="0" xfId="5" applyFill="1">
      <alignment vertical="center"/>
    </xf>
    <xf numFmtId="0" fontId="3" fillId="0" borderId="5" xfId="4" applyFont="1" applyFill="1" applyBorder="1"/>
    <xf numFmtId="0" fontId="3" fillId="0" borderId="6" xfId="4" applyFont="1" applyFill="1" applyBorder="1"/>
    <xf numFmtId="0" fontId="3" fillId="0" borderId="8" xfId="4" applyFont="1" applyFill="1" applyBorder="1"/>
    <xf numFmtId="0" fontId="3" fillId="0" borderId="0" xfId="4" applyFont="1" applyFill="1" applyBorder="1"/>
    <xf numFmtId="0" fontId="3" fillId="0" borderId="10" xfId="4" applyFont="1" applyFill="1" applyBorder="1"/>
    <xf numFmtId="0" fontId="3" fillId="0" borderId="4" xfId="4" applyFont="1" applyFill="1" applyBorder="1"/>
    <xf numFmtId="0" fontId="29" fillId="0" borderId="8" xfId="4" applyFont="1" applyFill="1" applyBorder="1"/>
    <xf numFmtId="14" fontId="29" fillId="0" borderId="0" xfId="4" applyNumberFormat="1" applyFont="1" applyFill="1" applyBorder="1"/>
    <xf numFmtId="14" fontId="29" fillId="0" borderId="7" xfId="4" applyNumberFormat="1" applyFont="1" applyFill="1" applyBorder="1" applyAlignment="1">
      <alignment horizontal="center"/>
    </xf>
    <xf numFmtId="0" fontId="3" fillId="0" borderId="5" xfId="5" applyFont="1" applyFill="1" applyBorder="1">
      <alignment vertical="center"/>
    </xf>
    <xf numFmtId="0" fontId="3" fillId="0" borderId="6" xfId="5" applyFont="1" applyFill="1" applyBorder="1">
      <alignment vertical="center"/>
    </xf>
    <xf numFmtId="0" fontId="29" fillId="0" borderId="10" xfId="4" applyFont="1" applyFill="1" applyBorder="1"/>
    <xf numFmtId="0" fontId="29" fillId="0" borderId="4" xfId="4" applyFont="1" applyFill="1" applyBorder="1"/>
    <xf numFmtId="0" fontId="29" fillId="0" borderId="11" xfId="4" applyFont="1" applyFill="1" applyBorder="1"/>
    <xf numFmtId="0" fontId="3" fillId="0" borderId="8" xfId="5" applyFont="1" applyFill="1" applyBorder="1">
      <alignment vertical="center"/>
    </xf>
    <xf numFmtId="0" fontId="3" fillId="0" borderId="0" xfId="5" applyFont="1" applyFill="1" applyBorder="1">
      <alignment vertical="center"/>
    </xf>
    <xf numFmtId="14" fontId="3" fillId="0" borderId="0" xfId="5" applyNumberFormat="1" applyFont="1" applyFill="1" applyBorder="1" applyAlignment="1">
      <alignment horizontal="left"/>
    </xf>
    <xf numFmtId="0" fontId="29" fillId="0" borderId="5" xfId="4" applyFont="1" applyFill="1" applyBorder="1"/>
    <xf numFmtId="0" fontId="29" fillId="0" borderId="6" xfId="4" applyFont="1" applyFill="1" applyBorder="1"/>
    <xf numFmtId="0" fontId="29" fillId="0" borderId="9" xfId="4" applyFont="1" applyFill="1" applyBorder="1"/>
    <xf numFmtId="0" fontId="29" fillId="0" borderId="8" xfId="5" applyFont="1" applyFill="1" applyBorder="1">
      <alignment vertical="center"/>
    </xf>
    <xf numFmtId="0" fontId="29" fillId="0" borderId="0" xfId="5" applyFont="1" applyFill="1" applyBorder="1">
      <alignment vertical="center"/>
    </xf>
    <xf numFmtId="0" fontId="29" fillId="0" borderId="0" xfId="4" applyFont="1" applyFill="1" applyBorder="1"/>
    <xf numFmtId="0" fontId="29" fillId="0" borderId="7" xfId="4" applyFont="1" applyFill="1" applyBorder="1" applyAlignment="1">
      <alignment horizontal="center"/>
    </xf>
    <xf numFmtId="0" fontId="29" fillId="0" borderId="7" xfId="4" applyFont="1" applyFill="1" applyBorder="1"/>
    <xf numFmtId="0" fontId="29" fillId="0" borderId="10" xfId="5" applyFont="1" applyFill="1" applyBorder="1">
      <alignment vertical="center"/>
    </xf>
    <xf numFmtId="0" fontId="29" fillId="0" borderId="4" xfId="5" applyFont="1" applyFill="1" applyBorder="1">
      <alignment vertical="center"/>
    </xf>
    <xf numFmtId="0" fontId="29" fillId="0" borderId="2" xfId="4" applyFont="1" applyFill="1" applyBorder="1"/>
    <xf numFmtId="0" fontId="29" fillId="0" borderId="3" xfId="4" applyFont="1" applyFill="1" applyBorder="1"/>
    <xf numFmtId="0" fontId="29" fillId="0" borderId="14" xfId="4" applyFont="1" applyFill="1" applyBorder="1"/>
    <xf numFmtId="0" fontId="29" fillId="0" borderId="1" xfId="4" applyFont="1" applyFill="1" applyBorder="1" applyAlignment="1">
      <alignment horizontal="center"/>
    </xf>
    <xf numFmtId="0" fontId="29" fillId="0" borderId="1" xfId="4" applyFont="1" applyFill="1" applyBorder="1"/>
    <xf numFmtId="0" fontId="29" fillId="0" borderId="14" xfId="4" applyFont="1" applyFill="1" applyBorder="1" applyAlignment="1">
      <alignment horizontal="center"/>
    </xf>
    <xf numFmtId="177" fontId="29" fillId="0" borderId="1" xfId="4" applyNumberFormat="1" applyFont="1" applyFill="1" applyBorder="1" applyAlignment="1">
      <alignment horizontal="center"/>
    </xf>
    <xf numFmtId="0" fontId="29" fillId="0" borderId="0" xfId="4" applyFont="1" applyFill="1" applyBorder="1" applyAlignment="1">
      <alignment horizontal="center"/>
    </xf>
    <xf numFmtId="0" fontId="29" fillId="0" borderId="21" xfId="4" applyFont="1" applyFill="1" applyBorder="1"/>
    <xf numFmtId="177" fontId="29" fillId="0" borderId="21" xfId="4" applyNumberFormat="1" applyFont="1" applyFill="1" applyBorder="1" applyAlignment="1">
      <alignment horizontal="center"/>
    </xf>
    <xf numFmtId="0" fontId="29" fillId="0" borderId="21" xfId="4" applyFont="1" applyFill="1" applyBorder="1" applyAlignment="1">
      <alignment horizontal="center"/>
    </xf>
    <xf numFmtId="177" fontId="29" fillId="0" borderId="21" xfId="4" applyNumberFormat="1" applyFont="1" applyFill="1" applyBorder="1"/>
    <xf numFmtId="177" fontId="29" fillId="0" borderId="0" xfId="4" applyNumberFormat="1" applyFont="1" applyFill="1"/>
    <xf numFmtId="0" fontId="29" fillId="0" borderId="13" xfId="4" applyFont="1" applyFill="1" applyBorder="1"/>
    <xf numFmtId="177" fontId="29" fillId="0" borderId="13" xfId="4" applyNumberFormat="1" applyFont="1" applyFill="1" applyBorder="1"/>
    <xf numFmtId="0" fontId="34" fillId="0" borderId="0" xfId="4" applyFont="1" applyFill="1"/>
    <xf numFmtId="0" fontId="8" fillId="2" borderId="5" xfId="2" applyFont="1" applyFill="1" applyBorder="1" applyAlignment="1">
      <alignment vertical="center"/>
    </xf>
    <xf numFmtId="0" fontId="15" fillId="0" borderId="16" xfId="3" applyFill="1" applyBorder="1" applyAlignment="1">
      <alignment horizontal="left" vertical="center" wrapText="1"/>
    </xf>
    <xf numFmtId="1" fontId="22" fillId="0" borderId="16" xfId="3" applyNumberFormat="1" applyFont="1" applyFill="1" applyBorder="1" applyAlignment="1">
      <alignment horizontal="left" vertical="center" shrinkToFit="1"/>
    </xf>
    <xf numFmtId="0" fontId="0" fillId="0" borderId="0" xfId="0" applyAlignment="1">
      <alignment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5" borderId="1" xfId="0" applyFill="1" applyBorder="1" applyAlignment="1">
      <alignment horizontal="left" vertical="center"/>
    </xf>
    <xf numFmtId="0" fontId="0" fillId="0" borderId="1" xfId="0" applyBorder="1" applyAlignment="1">
      <alignment horizontal="left" vertical="center"/>
    </xf>
    <xf numFmtId="0" fontId="0" fillId="3" borderId="1" xfId="0" applyFill="1" applyBorder="1" applyAlignment="1">
      <alignment horizontal="left" vertical="center"/>
    </xf>
    <xf numFmtId="22" fontId="0" fillId="3" borderId="1" xfId="0" applyNumberFormat="1" applyFill="1" applyBorder="1" applyAlignment="1">
      <alignment horizontal="center" vertical="center"/>
    </xf>
    <xf numFmtId="0" fontId="0" fillId="3" borderId="0" xfId="0" applyFill="1" applyAlignment="1">
      <alignment horizontal="left" vertical="center"/>
    </xf>
    <xf numFmtId="0" fontId="42" fillId="0" borderId="0" xfId="0" applyFont="1" applyAlignment="1">
      <alignment horizontal="left" vertical="center"/>
    </xf>
    <xf numFmtId="0" fontId="43" fillId="0" borderId="0" xfId="0" applyFont="1" applyAlignment="1">
      <alignment horizontal="left" vertical="center"/>
    </xf>
    <xf numFmtId="0" fontId="44" fillId="0" borderId="0" xfId="0" applyFont="1" applyAlignment="1">
      <alignment horizontal="left" vertical="center"/>
    </xf>
    <xf numFmtId="0" fontId="29" fillId="0" borderId="0" xfId="0" applyFont="1"/>
    <xf numFmtId="0" fontId="30" fillId="0" borderId="0" xfId="0" applyFont="1"/>
    <xf numFmtId="0" fontId="3" fillId="0" borderId="5" xfId="0" applyFont="1" applyFill="1" applyBorder="1"/>
    <xf numFmtId="0" fontId="3" fillId="0" borderId="6" xfId="0" applyFont="1" applyFill="1" applyBorder="1"/>
    <xf numFmtId="0" fontId="3" fillId="0" borderId="8" xfId="0" applyFont="1" applyFill="1" applyBorder="1"/>
    <xf numFmtId="0" fontId="3" fillId="0" borderId="0" xfId="0" applyFont="1" applyFill="1" applyBorder="1"/>
    <xf numFmtId="14" fontId="3" fillId="0" borderId="0" xfId="0" applyNumberFormat="1" applyFont="1" applyFill="1" applyBorder="1" applyAlignment="1">
      <alignment horizontal="left"/>
    </xf>
    <xf numFmtId="0" fontId="3" fillId="0" borderId="22" xfId="0" applyFont="1" applyFill="1" applyBorder="1"/>
    <xf numFmtId="0" fontId="3" fillId="0" borderId="23" xfId="0" applyFont="1" applyFill="1" applyBorder="1"/>
    <xf numFmtId="0" fontId="29" fillId="0" borderId="8" xfId="0" applyFont="1" applyBorder="1"/>
    <xf numFmtId="14" fontId="29" fillId="0" borderId="0" xfId="0" applyNumberFormat="1" applyFont="1" applyBorder="1" applyAlignment="1">
      <alignment horizontal="left"/>
    </xf>
    <xf numFmtId="14" fontId="29" fillId="0" borderId="7" xfId="0" applyNumberFormat="1" applyFont="1" applyBorder="1" applyAlignment="1">
      <alignment horizontal="left"/>
    </xf>
    <xf numFmtId="0" fontId="29" fillId="0" borderId="10" xfId="0" applyFont="1" applyBorder="1"/>
    <xf numFmtId="0" fontId="29" fillId="0" borderId="4" xfId="0" applyFont="1" applyBorder="1"/>
    <xf numFmtId="0" fontId="29" fillId="0" borderId="11" xfId="0" applyFont="1" applyBorder="1"/>
    <xf numFmtId="0" fontId="29" fillId="0" borderId="5" xfId="0" applyFont="1" applyBorder="1"/>
    <xf numFmtId="0" fontId="29" fillId="0" borderId="6" xfId="0" applyFont="1" applyBorder="1"/>
    <xf numFmtId="0" fontId="29" fillId="0" borderId="9" xfId="0" applyFont="1" applyBorder="1"/>
    <xf numFmtId="0" fontId="29" fillId="0" borderId="8" xfId="0" applyFont="1" applyFill="1" applyBorder="1"/>
    <xf numFmtId="0" fontId="29" fillId="0" borderId="0" xfId="0" applyFont="1" applyFill="1" applyBorder="1"/>
    <xf numFmtId="0" fontId="29" fillId="0" borderId="0" xfId="0" applyFont="1" applyBorder="1"/>
    <xf numFmtId="177" fontId="29" fillId="0" borderId="7" xfId="0" applyNumberFormat="1" applyFont="1" applyBorder="1" applyAlignment="1">
      <alignment horizontal="center"/>
    </xf>
    <xf numFmtId="0" fontId="29" fillId="0" borderId="10" xfId="0" applyFont="1" applyFill="1" applyBorder="1"/>
    <xf numFmtId="0" fontId="29" fillId="0" borderId="4" xfId="0" applyFont="1" applyFill="1" applyBorder="1"/>
    <xf numFmtId="0" fontId="29" fillId="0" borderId="7" xfId="0" applyFont="1" applyBorder="1"/>
    <xf numFmtId="0" fontId="29" fillId="0" borderId="2" xfId="0" applyFont="1" applyBorder="1"/>
    <xf numFmtId="0" fontId="29" fillId="0" borderId="3" xfId="0" applyFont="1" applyBorder="1"/>
    <xf numFmtId="0" fontId="29" fillId="0" borderId="14" xfId="0" applyFont="1" applyBorder="1"/>
    <xf numFmtId="0" fontId="29" fillId="0" borderId="1" xfId="0" applyFont="1" applyBorder="1" applyAlignment="1">
      <alignment horizontal="center"/>
    </xf>
    <xf numFmtId="0" fontId="29" fillId="0" borderId="1" xfId="0" applyFont="1" applyBorder="1"/>
    <xf numFmtId="0" fontId="29" fillId="0" borderId="6" xfId="0" applyFont="1" applyBorder="1" applyAlignment="1">
      <alignment horizontal="center"/>
    </xf>
    <xf numFmtId="0" fontId="29" fillId="0" borderId="7" xfId="0" applyFont="1" applyBorder="1" applyAlignment="1">
      <alignment horizontal="center"/>
    </xf>
    <xf numFmtId="0" fontId="29" fillId="0" borderId="21" xfId="0" applyFont="1" applyBorder="1"/>
    <xf numFmtId="24" fontId="29" fillId="0" borderId="21" xfId="0" applyNumberFormat="1" applyFont="1" applyBorder="1" applyAlignment="1">
      <alignment horizontal="center"/>
    </xf>
    <xf numFmtId="0" fontId="29" fillId="0" borderId="21" xfId="0" applyFont="1" applyBorder="1" applyAlignment="1">
      <alignment horizontal="center"/>
    </xf>
    <xf numFmtId="0" fontId="29" fillId="0" borderId="13" xfId="0" applyFont="1" applyBorder="1"/>
    <xf numFmtId="178" fontId="29" fillId="0" borderId="3" xfId="0" applyNumberFormat="1" applyFont="1" applyBorder="1" applyAlignment="1">
      <alignment horizontal="center"/>
    </xf>
    <xf numFmtId="0" fontId="32" fillId="0" borderId="0" xfId="0" applyFont="1"/>
    <xf numFmtId="0" fontId="34" fillId="0" borderId="0" xfId="0" applyFont="1"/>
    <xf numFmtId="0" fontId="0" fillId="0" borderId="1" xfId="0" applyBorder="1" applyAlignment="1">
      <alignment horizontal="left" vertical="center"/>
    </xf>
    <xf numFmtId="0" fontId="0" fillId="0" borderId="0" xfId="0"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22" fontId="0" fillId="5" borderId="1" xfId="0" applyNumberFormat="1" applyFill="1" applyBorder="1" applyAlignment="1">
      <alignment horizontal="left" vertical="center"/>
    </xf>
    <xf numFmtId="0" fontId="5" fillId="0" borderId="8" xfId="2" applyBorder="1" applyAlignment="1">
      <alignment horizontal="center" vertical="center"/>
    </xf>
    <xf numFmtId="0" fontId="5" fillId="0" borderId="0" xfId="2" applyBorder="1" applyAlignment="1">
      <alignment horizontal="center" vertical="center"/>
    </xf>
    <xf numFmtId="0" fontId="5" fillId="0" borderId="7" xfId="2" applyBorder="1" applyAlignment="1">
      <alignment horizontal="center" vertical="center"/>
    </xf>
    <xf numFmtId="0" fontId="5" fillId="0" borderId="10" xfId="2" applyBorder="1" applyAlignment="1">
      <alignment horizontal="center" vertical="center"/>
    </xf>
    <xf numFmtId="0" fontId="5" fillId="0" borderId="4" xfId="2" applyBorder="1" applyAlignment="1">
      <alignment horizontal="center" vertical="center"/>
    </xf>
    <xf numFmtId="0" fontId="5" fillId="0" borderId="11" xfId="2" applyBorder="1" applyAlignment="1">
      <alignment horizontal="center" vertical="center"/>
    </xf>
    <xf numFmtId="0" fontId="10" fillId="0" borderId="10" xfId="2" applyFont="1" applyBorder="1" applyAlignment="1">
      <alignment horizontal="left" vertical="center"/>
    </xf>
    <xf numFmtId="0" fontId="10" fillId="0" borderId="4" xfId="2" applyFont="1" applyBorder="1" applyAlignment="1">
      <alignment horizontal="left" vertical="center"/>
    </xf>
    <xf numFmtId="0" fontId="8" fillId="0" borderId="4" xfId="2" applyFont="1" applyBorder="1" applyAlignment="1">
      <alignment horizontal="left" vertical="center"/>
    </xf>
    <xf numFmtId="0" fontId="8" fillId="0" borderId="4" xfId="2" applyFont="1" applyBorder="1" applyAlignment="1">
      <alignment horizontal="center" vertical="center"/>
    </xf>
    <xf numFmtId="0" fontId="13" fillId="0" borderId="0" xfId="2" applyFont="1" applyBorder="1" applyAlignment="1">
      <alignment horizontal="left" vertical="center" wrapText="1"/>
    </xf>
    <xf numFmtId="0" fontId="11" fillId="0" borderId="0" xfId="2" applyFont="1" applyBorder="1" applyAlignment="1">
      <alignment horizontal="left" vertical="center"/>
    </xf>
    <xf numFmtId="0" fontId="14" fillId="0" borderId="3" xfId="2" applyFont="1" applyBorder="1" applyAlignment="1">
      <alignment horizontal="left" vertical="center"/>
    </xf>
    <xf numFmtId="0" fontId="8" fillId="0" borderId="3" xfId="2" applyFont="1" applyBorder="1" applyAlignment="1">
      <alignment horizontal="right" vertical="center"/>
    </xf>
    <xf numFmtId="0" fontId="8" fillId="0" borderId="6" xfId="2" applyFont="1" applyBorder="1" applyAlignment="1">
      <alignment horizontal="left" vertical="center"/>
    </xf>
    <xf numFmtId="0" fontId="8" fillId="0" borderId="6" xfId="2" applyFont="1" applyBorder="1" applyAlignment="1">
      <alignment horizontal="center" vertical="center"/>
    </xf>
    <xf numFmtId="0" fontId="8" fillId="0" borderId="9" xfId="2" applyFont="1" applyBorder="1" applyAlignment="1">
      <alignment horizontal="center" vertical="center"/>
    </xf>
    <xf numFmtId="0" fontId="8" fillId="0" borderId="5" xfId="2" applyFont="1" applyBorder="1" applyAlignment="1">
      <alignment horizontal="left" vertical="center"/>
    </xf>
    <xf numFmtId="0" fontId="8" fillId="0" borderId="9" xfId="2" applyFont="1" applyBorder="1" applyAlignment="1">
      <alignment horizontal="left" vertical="center"/>
    </xf>
    <xf numFmtId="0" fontId="5" fillId="0" borderId="5" xfId="2" applyBorder="1" applyAlignment="1">
      <alignment horizontal="center" vertical="center" wrapText="1"/>
    </xf>
    <xf numFmtId="0" fontId="5" fillId="0" borderId="8" xfId="2" applyBorder="1" applyAlignment="1">
      <alignment horizontal="center" vertical="center" wrapText="1"/>
    </xf>
    <xf numFmtId="0" fontId="5" fillId="0" borderId="10" xfId="2" applyBorder="1" applyAlignment="1">
      <alignment horizontal="center" vertical="center" wrapText="1"/>
    </xf>
    <xf numFmtId="49" fontId="5" fillId="0" borderId="6" xfId="2" applyNumberFormat="1" applyBorder="1" applyAlignment="1">
      <alignment horizontal="center" vertical="center" wrapText="1"/>
    </xf>
    <xf numFmtId="49" fontId="5" fillId="0" borderId="0" xfId="2" applyNumberFormat="1" applyBorder="1" applyAlignment="1">
      <alignment horizontal="center" vertical="center" wrapText="1"/>
    </xf>
    <xf numFmtId="49" fontId="5" fillId="0" borderId="4" xfId="2" applyNumberFormat="1" applyBorder="1" applyAlignment="1">
      <alignment horizontal="center" vertical="center" wrapText="1"/>
    </xf>
    <xf numFmtId="0" fontId="5" fillId="0" borderId="6" xfId="2" applyBorder="1" applyAlignment="1">
      <alignment horizontal="center" vertical="center" wrapText="1"/>
    </xf>
    <xf numFmtId="0" fontId="5" fillId="0" borderId="0" xfId="2" applyBorder="1" applyAlignment="1">
      <alignment horizontal="center" vertical="center" wrapText="1"/>
    </xf>
    <xf numFmtId="0" fontId="5" fillId="0" borderId="4" xfId="2" applyBorder="1" applyAlignment="1">
      <alignment horizontal="center" vertical="center" wrapText="1"/>
    </xf>
    <xf numFmtId="176" fontId="11" fillId="0" borderId="6" xfId="2" applyNumberFormat="1" applyFont="1" applyBorder="1" applyAlignment="1">
      <alignment horizontal="center" vertical="center" wrapText="1"/>
    </xf>
    <xf numFmtId="176" fontId="11" fillId="0" borderId="0" xfId="2" applyNumberFormat="1" applyFont="1" applyBorder="1" applyAlignment="1">
      <alignment horizontal="center" vertical="center" wrapText="1"/>
    </xf>
    <xf numFmtId="176" fontId="11" fillId="0" borderId="4" xfId="2" applyNumberFormat="1" applyFont="1" applyBorder="1" applyAlignment="1">
      <alignment horizontal="center" vertical="center" wrapText="1"/>
    </xf>
    <xf numFmtId="0" fontId="11" fillId="0" borderId="6" xfId="2" applyFont="1" applyBorder="1" applyAlignment="1">
      <alignment horizontal="center" vertical="center" wrapText="1"/>
    </xf>
    <xf numFmtId="0" fontId="11" fillId="0" borderId="0" xfId="2" applyFont="1" applyBorder="1" applyAlignment="1">
      <alignment horizontal="center" vertical="center" wrapText="1"/>
    </xf>
    <xf numFmtId="0" fontId="11" fillId="0" borderId="4" xfId="2" applyFont="1" applyBorder="1" applyAlignment="1">
      <alignment horizontal="center" vertical="center" wrapText="1"/>
    </xf>
    <xf numFmtId="0" fontId="11" fillId="0" borderId="9" xfId="2" applyFont="1" applyBorder="1" applyAlignment="1">
      <alignment horizontal="center" vertical="center" wrapText="1"/>
    </xf>
    <xf numFmtId="0" fontId="11" fillId="0" borderId="7" xfId="2" applyFont="1" applyBorder="1" applyAlignment="1">
      <alignment horizontal="center" vertical="center" wrapText="1"/>
    </xf>
    <xf numFmtId="0" fontId="11" fillId="0" borderId="11" xfId="2" applyFont="1" applyBorder="1" applyAlignment="1">
      <alignment horizontal="center" vertical="center" wrapText="1"/>
    </xf>
    <xf numFmtId="0" fontId="9" fillId="4" borderId="6" xfId="2" applyFont="1" applyFill="1" applyBorder="1" applyAlignment="1">
      <alignment horizontal="center" vertical="center" wrapText="1"/>
    </xf>
    <xf numFmtId="0" fontId="9" fillId="4" borderId="0" xfId="2" applyFont="1" applyFill="1" applyBorder="1" applyAlignment="1">
      <alignment horizontal="center" vertical="center" wrapText="1"/>
    </xf>
    <xf numFmtId="0" fontId="9" fillId="4" borderId="4" xfId="2" applyFont="1" applyFill="1" applyBorder="1" applyAlignment="1">
      <alignment horizontal="center" vertical="center" wrapText="1"/>
    </xf>
    <xf numFmtId="0" fontId="9" fillId="0" borderId="6" xfId="2" applyFont="1" applyBorder="1" applyAlignment="1">
      <alignment horizontal="center" vertical="center" wrapText="1"/>
    </xf>
    <xf numFmtId="0" fontId="5" fillId="0" borderId="6" xfId="2" applyFont="1" applyBorder="1" applyAlignment="1">
      <alignment horizontal="center" vertical="center" wrapText="1"/>
    </xf>
    <xf numFmtId="0" fontId="5" fillId="0" borderId="0" xfId="2" applyFont="1" applyBorder="1" applyAlignment="1">
      <alignment horizontal="center" vertical="center" wrapText="1"/>
    </xf>
    <xf numFmtId="0" fontId="5" fillId="0" borderId="4" xfId="2" applyFont="1" applyBorder="1" applyAlignment="1">
      <alignment horizontal="center" vertical="center" wrapText="1"/>
    </xf>
    <xf numFmtId="0" fontId="13" fillId="0" borderId="9" xfId="2" applyFont="1" applyBorder="1" applyAlignment="1">
      <alignment horizontal="center" vertical="center" wrapText="1"/>
    </xf>
    <xf numFmtId="49" fontId="5" fillId="0" borderId="6" xfId="2" applyNumberFormat="1" applyFont="1" applyBorder="1" applyAlignment="1">
      <alignment horizontal="center" vertical="center" wrapText="1"/>
    </xf>
    <xf numFmtId="49" fontId="5" fillId="0" borderId="0" xfId="2" applyNumberFormat="1" applyFont="1" applyBorder="1" applyAlignment="1">
      <alignment horizontal="center" vertical="center" wrapText="1"/>
    </xf>
    <xf numFmtId="49" fontId="5" fillId="0" borderId="4" xfId="2" applyNumberFormat="1" applyFont="1" applyBorder="1" applyAlignment="1">
      <alignment horizontal="center" vertical="center" wrapText="1"/>
    </xf>
    <xf numFmtId="0" fontId="9" fillId="0" borderId="6" xfId="2" applyFont="1" applyBorder="1" applyAlignment="1">
      <alignment horizontal="left" vertical="center" wrapText="1"/>
    </xf>
    <xf numFmtId="0" fontId="5" fillId="0" borderId="6" xfId="2" applyFont="1" applyBorder="1" applyAlignment="1">
      <alignment horizontal="left" vertical="center" wrapText="1"/>
    </xf>
    <xf numFmtId="0" fontId="5" fillId="0" borderId="0" xfId="2" applyFont="1" applyBorder="1" applyAlignment="1">
      <alignment horizontal="left" vertical="center" wrapText="1"/>
    </xf>
    <xf numFmtId="0" fontId="5" fillId="0" borderId="4" xfId="2" applyFont="1" applyBorder="1" applyAlignment="1">
      <alignment horizontal="left" vertical="center" wrapText="1"/>
    </xf>
    <xf numFmtId="0" fontId="5" fillId="2" borderId="6" xfId="2" applyFont="1" applyFill="1" applyBorder="1" applyAlignment="1">
      <alignment horizontal="center" vertical="center" wrapText="1"/>
    </xf>
    <xf numFmtId="0" fontId="5" fillId="2" borderId="0" xfId="2" applyFill="1" applyBorder="1" applyAlignment="1">
      <alignment horizontal="center" vertical="center" wrapText="1"/>
    </xf>
    <xf numFmtId="0" fontId="5" fillId="2" borderId="4" xfId="2" applyFill="1" applyBorder="1" applyAlignment="1">
      <alignment horizontal="center" vertical="center" wrapText="1"/>
    </xf>
    <xf numFmtId="176" fontId="11" fillId="2" borderId="6" xfId="2" applyNumberFormat="1" applyFont="1" applyFill="1" applyBorder="1" applyAlignment="1">
      <alignment horizontal="center" vertical="center" wrapText="1"/>
    </xf>
    <xf numFmtId="176" fontId="11" fillId="2" borderId="0" xfId="2" applyNumberFormat="1" applyFont="1" applyFill="1" applyBorder="1" applyAlignment="1">
      <alignment horizontal="center" vertical="center" wrapText="1"/>
    </xf>
    <xf numFmtId="176" fontId="11" fillId="2" borderId="4" xfId="2" applyNumberFormat="1" applyFont="1" applyFill="1" applyBorder="1" applyAlignment="1">
      <alignment horizontal="center" vertical="center" wrapText="1"/>
    </xf>
    <xf numFmtId="0" fontId="11" fillId="0" borderId="10" xfId="2" applyFont="1" applyBorder="1" applyAlignment="1">
      <alignment horizontal="left" vertical="center" wrapText="1"/>
    </xf>
    <xf numFmtId="0" fontId="11" fillId="0" borderId="4" xfId="2" applyFont="1" applyBorder="1" applyAlignment="1">
      <alignment horizontal="left" vertical="center" wrapText="1"/>
    </xf>
    <xf numFmtId="0" fontId="11" fillId="0" borderId="11" xfId="2" applyFont="1" applyBorder="1" applyAlignment="1">
      <alignment horizontal="left" vertical="center" wrapText="1"/>
    </xf>
    <xf numFmtId="0" fontId="9" fillId="0" borderId="10" xfId="2" applyFont="1" applyBorder="1" applyAlignment="1">
      <alignment horizontal="left" vertical="center" wrapText="1"/>
    </xf>
    <xf numFmtId="0" fontId="5" fillId="0" borderId="4" xfId="2" applyBorder="1" applyAlignment="1">
      <alignment horizontal="left" vertical="center" wrapText="1"/>
    </xf>
    <xf numFmtId="0" fontId="5" fillId="0" borderId="11" xfId="2" applyBorder="1" applyAlignment="1">
      <alignment horizontal="left" vertical="center" wrapText="1"/>
    </xf>
    <xf numFmtId="0" fontId="8" fillId="0" borderId="3" xfId="2" applyFont="1" applyBorder="1" applyAlignment="1">
      <alignment horizontal="center" vertical="center"/>
    </xf>
    <xf numFmtId="0" fontId="9" fillId="2" borderId="10" xfId="2" applyFont="1" applyFill="1" applyBorder="1" applyAlignment="1">
      <alignment horizontal="left" vertical="center"/>
    </xf>
    <xf numFmtId="0" fontId="9" fillId="2" borderId="4" xfId="2" applyFont="1" applyFill="1" applyBorder="1" applyAlignment="1">
      <alignment horizontal="left" vertical="center"/>
    </xf>
    <xf numFmtId="0" fontId="9" fillId="2" borderId="11" xfId="2" applyFont="1" applyFill="1" applyBorder="1" applyAlignment="1">
      <alignment horizontal="left" vertical="center"/>
    </xf>
    <xf numFmtId="0" fontId="5" fillId="2" borderId="10" xfId="2" applyFill="1" applyBorder="1" applyAlignment="1">
      <alignment horizontal="left" vertical="center"/>
    </xf>
    <xf numFmtId="0" fontId="5" fillId="2" borderId="11" xfId="2" applyFill="1" applyBorder="1" applyAlignment="1">
      <alignment horizontal="left" vertical="center"/>
    </xf>
    <xf numFmtId="0" fontId="5" fillId="0" borderId="10" xfId="2" applyBorder="1" applyAlignment="1">
      <alignment horizontal="left" vertical="center"/>
    </xf>
    <xf numFmtId="0" fontId="5" fillId="0" borderId="4" xfId="2" applyBorder="1" applyAlignment="1">
      <alignment horizontal="left" vertical="center"/>
    </xf>
    <xf numFmtId="0" fontId="5" fillId="0" borderId="11" xfId="2" applyBorder="1" applyAlignment="1">
      <alignment horizontal="left" vertical="center"/>
    </xf>
    <xf numFmtId="0" fontId="8" fillId="0" borderId="5" xfId="2" applyFont="1" applyFill="1" applyBorder="1" applyAlignment="1">
      <alignment horizontal="left" vertical="center"/>
    </xf>
    <xf numFmtId="0" fontId="8" fillId="0" borderId="6" xfId="2" applyFont="1" applyFill="1" applyBorder="1" applyAlignment="1">
      <alignment horizontal="left" vertical="center"/>
    </xf>
    <xf numFmtId="0" fontId="8" fillId="0" borderId="9" xfId="2" applyFont="1" applyFill="1" applyBorder="1" applyAlignment="1">
      <alignment horizontal="left" vertical="center"/>
    </xf>
    <xf numFmtId="0" fontId="5" fillId="0" borderId="10" xfId="2" applyFont="1" applyBorder="1" applyAlignment="1">
      <alignment horizontal="left" vertical="center"/>
    </xf>
    <xf numFmtId="0" fontId="9" fillId="4" borderId="10" xfId="2" applyFont="1" applyFill="1" applyBorder="1" applyAlignment="1">
      <alignment horizontal="left" vertical="center"/>
    </xf>
    <xf numFmtId="0" fontId="9" fillId="4" borderId="11" xfId="2" applyFont="1" applyFill="1" applyBorder="1" applyAlignment="1">
      <alignment horizontal="left" vertical="center"/>
    </xf>
    <xf numFmtId="0" fontId="9" fillId="4" borderId="4" xfId="2" applyFont="1" applyFill="1" applyBorder="1" applyAlignment="1">
      <alignment horizontal="left" vertical="center"/>
    </xf>
    <xf numFmtId="0" fontId="5" fillId="4" borderId="4" xfId="2" applyFill="1" applyBorder="1" applyAlignment="1">
      <alignment horizontal="left" vertical="center"/>
    </xf>
    <xf numFmtId="0" fontId="5" fillId="4" borderId="11" xfId="2" applyFill="1" applyBorder="1" applyAlignment="1">
      <alignment horizontal="left" vertical="center"/>
    </xf>
    <xf numFmtId="0" fontId="9" fillId="0" borderId="10" xfId="2" applyFont="1" applyBorder="1" applyAlignment="1">
      <alignment horizontal="left" vertical="center"/>
    </xf>
    <xf numFmtId="0" fontId="9" fillId="0" borderId="4" xfId="2" applyFont="1" applyBorder="1" applyAlignment="1">
      <alignment horizontal="left" vertical="center"/>
    </xf>
    <xf numFmtId="0" fontId="9" fillId="0" borderId="11" xfId="2" applyFont="1" applyBorder="1" applyAlignment="1">
      <alignment horizontal="left" vertical="center"/>
    </xf>
    <xf numFmtId="0" fontId="11" fillId="0" borderId="10" xfId="2" applyFont="1" applyBorder="1" applyAlignment="1">
      <alignment horizontal="left" vertical="center"/>
    </xf>
    <xf numFmtId="0" fontId="11" fillId="0" borderId="11" xfId="2" applyFont="1" applyBorder="1" applyAlignment="1">
      <alignment horizontal="left" vertical="center"/>
    </xf>
    <xf numFmtId="0" fontId="13" fillId="0" borderId="10" xfId="2" applyFont="1" applyBorder="1" applyAlignment="1">
      <alignment horizontal="left" vertical="center"/>
    </xf>
    <xf numFmtId="0" fontId="11" fillId="0" borderId="4" xfId="2" applyFont="1" applyBorder="1" applyAlignment="1">
      <alignment horizontal="left" vertical="center"/>
    </xf>
    <xf numFmtId="0" fontId="9" fillId="3" borderId="10" xfId="2" applyFont="1" applyFill="1" applyBorder="1" applyAlignment="1">
      <alignment horizontal="left" vertical="center"/>
    </xf>
    <xf numFmtId="0" fontId="9" fillId="3" borderId="4" xfId="2" applyFont="1" applyFill="1" applyBorder="1" applyAlignment="1">
      <alignment horizontal="left" vertical="center"/>
    </xf>
    <xf numFmtId="0" fontId="9" fillId="3" borderId="11" xfId="2" applyFont="1" applyFill="1" applyBorder="1" applyAlignment="1">
      <alignment horizontal="left" vertical="center"/>
    </xf>
    <xf numFmtId="49" fontId="8" fillId="0" borderId="6" xfId="2" applyNumberFormat="1" applyFont="1" applyFill="1" applyBorder="1" applyAlignment="1">
      <alignment horizontal="left" vertical="center"/>
    </xf>
    <xf numFmtId="49" fontId="8" fillId="0" borderId="9" xfId="2" applyNumberFormat="1" applyFont="1" applyFill="1" applyBorder="1" applyAlignment="1">
      <alignment horizontal="left" vertical="center"/>
    </xf>
    <xf numFmtId="49" fontId="11" fillId="0" borderId="6" xfId="2" applyNumberFormat="1" applyFont="1" applyBorder="1" applyAlignment="1">
      <alignment horizontal="center" vertical="center"/>
    </xf>
    <xf numFmtId="49" fontId="11" fillId="0" borderId="9" xfId="2" applyNumberFormat="1" applyFont="1" applyBorder="1" applyAlignment="1">
      <alignment horizontal="center" vertical="center"/>
    </xf>
    <xf numFmtId="0" fontId="10" fillId="3" borderId="5" xfId="2" applyFont="1" applyFill="1" applyBorder="1" applyAlignment="1">
      <alignment horizontal="left" vertical="center"/>
    </xf>
    <xf numFmtId="0" fontId="10" fillId="3" borderId="6" xfId="2" applyFont="1" applyFill="1" applyBorder="1" applyAlignment="1">
      <alignment horizontal="left" vertical="center"/>
    </xf>
    <xf numFmtId="0" fontId="8" fillId="3" borderId="6" xfId="2" applyFont="1" applyFill="1" applyBorder="1" applyAlignment="1">
      <alignment horizontal="center" vertical="center"/>
    </xf>
    <xf numFmtId="0" fontId="8" fillId="3" borderId="9" xfId="2" applyFont="1" applyFill="1" applyBorder="1" applyAlignment="1">
      <alignment horizontal="center" vertical="center"/>
    </xf>
    <xf numFmtId="0" fontId="10" fillId="0" borderId="5" xfId="2" applyFont="1" applyBorder="1" applyAlignment="1">
      <alignment horizontal="left" vertical="center"/>
    </xf>
    <xf numFmtId="0" fontId="10" fillId="0" borderId="6" xfId="2" applyFont="1" applyBorder="1" applyAlignment="1">
      <alignment horizontal="left" vertical="center"/>
    </xf>
    <xf numFmtId="0" fontId="10" fillId="0" borderId="9" xfId="2" applyFont="1" applyBorder="1" applyAlignment="1">
      <alignment horizontal="left" vertical="center"/>
    </xf>
    <xf numFmtId="0" fontId="7" fillId="0" borderId="0" xfId="2" applyFont="1" applyAlignment="1">
      <alignment horizontal="center" vertical="center"/>
    </xf>
    <xf numFmtId="0" fontId="6" fillId="0" borderId="0" xfId="2" applyFont="1" applyAlignment="1">
      <alignment horizontal="center" vertical="center"/>
    </xf>
    <xf numFmtId="0" fontId="8" fillId="0" borderId="0" xfId="2" applyFont="1" applyAlignment="1">
      <alignment horizontal="left" vertical="top"/>
    </xf>
    <xf numFmtId="49" fontId="8" fillId="0" borderId="4" xfId="2" applyNumberFormat="1" applyFont="1" applyBorder="1" applyAlignment="1">
      <alignment horizontal="left" vertical="top"/>
    </xf>
    <xf numFmtId="49" fontId="8" fillId="0" borderId="0" xfId="2" applyNumberFormat="1" applyFont="1" applyBorder="1" applyAlignment="1">
      <alignment horizontal="left" vertical="center"/>
    </xf>
    <xf numFmtId="49" fontId="8" fillId="0" borderId="7" xfId="2" applyNumberFormat="1" applyFont="1" applyBorder="1" applyAlignment="1">
      <alignment horizontal="left" vertical="center"/>
    </xf>
    <xf numFmtId="22" fontId="8" fillId="2" borderId="6" xfId="2" applyNumberFormat="1" applyFont="1" applyFill="1" applyBorder="1" applyAlignment="1">
      <alignment horizontal="left" vertical="center"/>
    </xf>
    <xf numFmtId="0" fontId="8" fillId="2" borderId="6" xfId="2" applyFont="1" applyFill="1" applyBorder="1" applyAlignment="1">
      <alignment horizontal="left" vertical="center"/>
    </xf>
    <xf numFmtId="0" fontId="8" fillId="2" borderId="9" xfId="2" applyFont="1" applyFill="1"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3" xfId="0" applyBorder="1" applyAlignment="1">
      <alignment horizontal="center" vertical="center"/>
    </xf>
    <xf numFmtId="0" fontId="0" fillId="0" borderId="12" xfId="0" applyBorder="1" applyAlignment="1">
      <alignment horizontal="left" vertical="center"/>
    </xf>
    <xf numFmtId="0" fontId="0" fillId="0" borderId="1" xfId="0" applyBorder="1" applyAlignment="1">
      <alignment horizontal="left" vertical="top"/>
    </xf>
    <xf numFmtId="0" fontId="0" fillId="0" borderId="0" xfId="0" applyAlignment="1">
      <alignment horizontal="left" vertical="center" wrapText="1"/>
    </xf>
    <xf numFmtId="0" fontId="0" fillId="0" borderId="0" xfId="0" applyAlignment="1">
      <alignment horizontal="center" vertical="center"/>
    </xf>
    <xf numFmtId="0" fontId="36" fillId="0" borderId="0" xfId="0" applyFont="1" applyAlignment="1">
      <alignment horizontal="center" vertical="center"/>
    </xf>
    <xf numFmtId="0" fontId="37" fillId="0" borderId="0" xfId="0" applyFont="1" applyAlignment="1">
      <alignment horizontal="center" vertical="center"/>
    </xf>
    <xf numFmtId="0" fontId="0" fillId="0" borderId="0" xfId="0" applyAlignment="1">
      <alignment horizontal="center"/>
    </xf>
    <xf numFmtId="0" fontId="38" fillId="0" borderId="0" xfId="0" applyFont="1" applyAlignment="1">
      <alignment horizontal="left" vertical="top"/>
    </xf>
    <xf numFmtId="0" fontId="39" fillId="0" borderId="0" xfId="0" applyFont="1" applyAlignment="1">
      <alignment horizontal="left" vertical="top"/>
    </xf>
    <xf numFmtId="0" fontId="40" fillId="0" borderId="0" xfId="0" applyFont="1" applyAlignment="1">
      <alignment horizontal="center" vertical="center" wrapText="1"/>
    </xf>
    <xf numFmtId="0" fontId="41" fillId="0" borderId="0" xfId="0" applyFont="1" applyAlignment="1">
      <alignment horizontal="center" vertical="center" wrapText="1"/>
    </xf>
    <xf numFmtId="0" fontId="0" fillId="0" borderId="0" xfId="0" applyAlignment="1">
      <alignment horizontal="left" vertical="center"/>
    </xf>
    <xf numFmtId="0" fontId="0" fillId="0" borderId="0" xfId="0" applyAlignment="1">
      <alignment horizontal="center" wrapText="1"/>
    </xf>
    <xf numFmtId="0" fontId="31" fillId="0" borderId="5" xfId="4" applyFont="1" applyFill="1" applyBorder="1" applyAlignment="1">
      <alignment horizontal="center" vertical="center"/>
    </xf>
    <xf numFmtId="0" fontId="31" fillId="0" borderId="6" xfId="4" applyFont="1" applyFill="1" applyBorder="1" applyAlignment="1">
      <alignment horizontal="center" vertical="center"/>
    </xf>
    <xf numFmtId="0" fontId="31" fillId="0" borderId="9" xfId="4" applyFont="1" applyFill="1" applyBorder="1" applyAlignment="1">
      <alignment horizontal="center" vertical="center"/>
    </xf>
    <xf numFmtId="0" fontId="31" fillId="0" borderId="8" xfId="4" applyFont="1" applyFill="1" applyBorder="1" applyAlignment="1">
      <alignment horizontal="center" vertical="center"/>
    </xf>
    <xf numFmtId="0" fontId="31" fillId="0" borderId="0" xfId="4" applyFont="1" applyFill="1" applyBorder="1" applyAlignment="1">
      <alignment horizontal="center" vertical="center"/>
    </xf>
    <xf numFmtId="0" fontId="31" fillId="0" borderId="7" xfId="4" applyFont="1" applyFill="1" applyBorder="1" applyAlignment="1">
      <alignment horizontal="center" vertical="center"/>
    </xf>
    <xf numFmtId="0" fontId="31" fillId="0" borderId="10" xfId="4" applyFont="1" applyFill="1" applyBorder="1" applyAlignment="1">
      <alignment horizontal="center" vertical="center"/>
    </xf>
    <xf numFmtId="0" fontId="31" fillId="0" borderId="4" xfId="4" applyFont="1" applyFill="1" applyBorder="1" applyAlignment="1">
      <alignment horizontal="center" vertical="center"/>
    </xf>
    <xf numFmtId="0" fontId="31" fillId="0" borderId="11" xfId="4" applyFont="1" applyFill="1" applyBorder="1" applyAlignment="1">
      <alignment horizontal="center" vertical="center"/>
    </xf>
    <xf numFmtId="0" fontId="29" fillId="0" borderId="2" xfId="4" applyFont="1" applyFill="1" applyBorder="1" applyAlignment="1">
      <alignment horizontal="center"/>
    </xf>
    <xf numFmtId="0" fontId="29" fillId="0" borderId="3" xfId="4" applyFont="1" applyFill="1" applyBorder="1" applyAlignment="1">
      <alignment horizontal="center"/>
    </xf>
    <xf numFmtId="0" fontId="29" fillId="0" borderId="14" xfId="4" applyFont="1" applyFill="1" applyBorder="1" applyAlignment="1">
      <alignment horizontal="center"/>
    </xf>
    <xf numFmtId="0" fontId="29" fillId="0" borderId="8" xfId="4" applyFont="1" applyFill="1" applyBorder="1" applyAlignment="1">
      <alignment horizontal="center"/>
    </xf>
    <xf numFmtId="0" fontId="29" fillId="0" borderId="0" xfId="4" applyFont="1" applyFill="1" applyBorder="1" applyAlignment="1">
      <alignment horizontal="center"/>
    </xf>
    <xf numFmtId="0" fontId="29" fillId="0" borderId="7" xfId="4" applyFont="1" applyFill="1" applyBorder="1" applyAlignment="1">
      <alignment horizontal="center"/>
    </xf>
    <xf numFmtId="0" fontId="32" fillId="0" borderId="0" xfId="4" applyFont="1" applyFill="1" applyAlignment="1">
      <alignment horizontal="center"/>
    </xf>
    <xf numFmtId="0" fontId="28" fillId="0" borderId="17" xfId="3" applyFont="1" applyFill="1" applyBorder="1" applyAlignment="1">
      <alignment horizontal="left" vertical="top" wrapText="1"/>
    </xf>
    <xf numFmtId="0" fontId="15" fillId="0" borderId="18" xfId="3" applyFill="1" applyBorder="1" applyAlignment="1">
      <alignment horizontal="left" vertical="top" wrapText="1"/>
    </xf>
    <xf numFmtId="0" fontId="15" fillId="0" borderId="19" xfId="3" applyFill="1" applyBorder="1" applyAlignment="1">
      <alignment horizontal="left" vertical="top" wrapText="1"/>
    </xf>
    <xf numFmtId="0" fontId="15" fillId="0" borderId="17" xfId="3" applyFill="1" applyBorder="1" applyAlignment="1">
      <alignment horizontal="left" vertical="top" wrapText="1"/>
    </xf>
    <xf numFmtId="0" fontId="35" fillId="0" borderId="20" xfId="3" applyFont="1" applyFill="1" applyBorder="1" applyAlignment="1">
      <alignment horizontal="left" vertical="top" wrapText="1"/>
    </xf>
    <xf numFmtId="0" fontId="15" fillId="0" borderId="20" xfId="3" applyFill="1" applyBorder="1" applyAlignment="1">
      <alignment horizontal="left" vertical="top" wrapText="1"/>
    </xf>
    <xf numFmtId="0" fontId="17" fillId="0" borderId="17" xfId="3" applyFont="1" applyFill="1" applyBorder="1" applyAlignment="1">
      <alignment horizontal="left" vertical="center" wrapText="1"/>
    </xf>
    <xf numFmtId="0" fontId="17" fillId="0" borderId="18" xfId="3" applyFont="1" applyFill="1" applyBorder="1" applyAlignment="1">
      <alignment horizontal="left" vertical="center" wrapText="1"/>
    </xf>
    <xf numFmtId="0" fontId="17" fillId="0" borderId="19" xfId="3" applyFont="1" applyFill="1" applyBorder="1" applyAlignment="1">
      <alignment horizontal="left" vertical="center" wrapText="1"/>
    </xf>
    <xf numFmtId="0" fontId="15" fillId="0" borderId="15" xfId="3" applyFill="1" applyBorder="1" applyAlignment="1">
      <alignment horizontal="center" vertical="top" wrapText="1"/>
    </xf>
    <xf numFmtId="0" fontId="19" fillId="0" borderId="17" xfId="3" applyFont="1" applyFill="1" applyBorder="1" applyAlignment="1">
      <alignment horizontal="left" vertical="center" wrapText="1"/>
    </xf>
    <xf numFmtId="0" fontId="19" fillId="0" borderId="18" xfId="3" applyFont="1" applyFill="1" applyBorder="1" applyAlignment="1">
      <alignment horizontal="left" vertical="center" wrapText="1"/>
    </xf>
    <xf numFmtId="0" fontId="19" fillId="0" borderId="19" xfId="3" applyFont="1" applyFill="1" applyBorder="1" applyAlignment="1">
      <alignment horizontal="left" vertical="center" wrapText="1"/>
    </xf>
    <xf numFmtId="0" fontId="15" fillId="0" borderId="17" xfId="3" applyFill="1" applyBorder="1" applyAlignment="1">
      <alignment horizontal="left" vertical="center" wrapText="1"/>
    </xf>
    <xf numFmtId="0" fontId="15" fillId="0" borderId="18" xfId="3" applyFill="1" applyBorder="1" applyAlignment="1">
      <alignment horizontal="left" vertical="center" wrapText="1"/>
    </xf>
    <xf numFmtId="0" fontId="15" fillId="0" borderId="19" xfId="3" applyFill="1" applyBorder="1" applyAlignment="1">
      <alignment horizontal="left" vertical="center" wrapText="1"/>
    </xf>
    <xf numFmtId="1" fontId="22" fillId="0" borderId="17" xfId="3" applyNumberFormat="1" applyFont="1" applyFill="1" applyBorder="1" applyAlignment="1">
      <alignment horizontal="left" vertical="center" shrinkToFit="1"/>
    </xf>
    <xf numFmtId="1" fontId="22" fillId="0" borderId="18" xfId="3" applyNumberFormat="1" applyFont="1" applyFill="1" applyBorder="1" applyAlignment="1">
      <alignment horizontal="left" vertical="center" shrinkToFit="1"/>
    </xf>
    <xf numFmtId="1" fontId="22" fillId="0" borderId="19" xfId="3" applyNumberFormat="1" applyFont="1" applyFill="1" applyBorder="1" applyAlignment="1">
      <alignment horizontal="left" vertical="center" shrinkToFit="1"/>
    </xf>
    <xf numFmtId="0" fontId="31" fillId="0" borderId="5" xfId="0" applyFont="1" applyBorder="1" applyAlignment="1">
      <alignment horizontal="center" vertical="center"/>
    </xf>
    <xf numFmtId="0" fontId="31" fillId="0" borderId="6" xfId="0" applyFont="1" applyBorder="1" applyAlignment="1">
      <alignment horizontal="center" vertical="center"/>
    </xf>
    <xf numFmtId="0" fontId="31" fillId="0" borderId="9" xfId="0" applyFont="1" applyBorder="1" applyAlignment="1">
      <alignment horizontal="center" vertical="center"/>
    </xf>
    <xf numFmtId="0" fontId="31" fillId="0" borderId="8" xfId="0" applyFont="1" applyBorder="1" applyAlignment="1">
      <alignment horizontal="center" vertical="center"/>
    </xf>
    <xf numFmtId="0" fontId="31" fillId="0" borderId="0" xfId="0" applyFont="1" applyBorder="1" applyAlignment="1">
      <alignment horizontal="center" vertical="center"/>
    </xf>
    <xf numFmtId="0" fontId="31" fillId="0" borderId="7" xfId="0" applyFont="1" applyBorder="1" applyAlignment="1">
      <alignment horizontal="center" vertical="center"/>
    </xf>
    <xf numFmtId="0" fontId="31" fillId="0" borderId="22" xfId="0" applyFont="1" applyBorder="1" applyAlignment="1">
      <alignment horizontal="center" vertical="center"/>
    </xf>
    <xf numFmtId="0" fontId="31" fillId="0" borderId="23" xfId="0" applyFont="1" applyBorder="1" applyAlignment="1">
      <alignment horizontal="center" vertical="center"/>
    </xf>
    <xf numFmtId="0" fontId="31" fillId="0" borderId="24" xfId="0" applyFont="1" applyBorder="1" applyAlignment="1">
      <alignment horizontal="center" vertical="center"/>
    </xf>
  </cellXfs>
  <cellStyles count="7">
    <cellStyle name="標準" xfId="6"/>
    <cellStyle name="常规" xfId="0" builtinId="0"/>
    <cellStyle name="常规 2" xfId="1"/>
    <cellStyle name="常规 3" xfId="2"/>
    <cellStyle name="常规 4" xfId="3"/>
    <cellStyle name="常规 5" xfId="5"/>
    <cellStyle name="常规_Sheet1"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91440</xdr:colOff>
      <xdr:row>0</xdr:row>
      <xdr:rowOff>83820</xdr:rowOff>
    </xdr:from>
    <xdr:to>
      <xdr:col>0</xdr:col>
      <xdr:colOff>510540</xdr:colOff>
      <xdr:row>0</xdr:row>
      <xdr:rowOff>457200</xdr:rowOff>
    </xdr:to>
    <xdr:pic>
      <xdr:nvPicPr>
        <xdr:cNvPr id="2" name="图片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440" y="83820"/>
          <a:ext cx="419100" cy="3733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220980</xdr:colOff>
      <xdr:row>1</xdr:row>
      <xdr:rowOff>167640</xdr:rowOff>
    </xdr:from>
    <xdr:to>
      <xdr:col>1</xdr:col>
      <xdr:colOff>624840</xdr:colOff>
      <xdr:row>4</xdr:row>
      <xdr:rowOff>0</xdr:rowOff>
    </xdr:to>
    <xdr:pic>
      <xdr:nvPicPr>
        <xdr:cNvPr id="2" name="Picture 2" descr="OCC_E_CSL"/>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 y="365760"/>
          <a:ext cx="1089660" cy="502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257175</xdr:colOff>
      <xdr:row>1</xdr:row>
      <xdr:rowOff>95250</xdr:rowOff>
    </xdr:from>
    <xdr:to>
      <xdr:col>1</xdr:col>
      <xdr:colOff>666750</xdr:colOff>
      <xdr:row>4</xdr:row>
      <xdr:rowOff>38100</xdr:rowOff>
    </xdr:to>
    <xdr:pic>
      <xdr:nvPicPr>
        <xdr:cNvPr id="2" name="Picture 1" descr="OCC_E_CSL"/>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175" y="457200"/>
          <a:ext cx="10953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6"/>
  <sheetViews>
    <sheetView showGridLines="0" zoomScale="115" zoomScaleNormal="115" workbookViewId="0">
      <selection activeCell="D18" sqref="D18:F20"/>
    </sheetView>
  </sheetViews>
  <sheetFormatPr defaultColWidth="8.88671875" defaultRowHeight="13.8"/>
  <cols>
    <col min="1" max="1" width="7.77734375" style="2" customWidth="1"/>
    <col min="2" max="2" width="5.21875" style="2" customWidth="1"/>
    <col min="3" max="3" width="10" style="2" customWidth="1"/>
    <col min="4" max="4" width="19.44140625" style="2" customWidth="1"/>
    <col min="5" max="5" width="14.109375" style="2" customWidth="1"/>
    <col min="6" max="6" width="13.109375" style="2" customWidth="1"/>
    <col min="7" max="7" width="12.77734375" style="2" customWidth="1"/>
    <col min="8" max="9" width="8.88671875" style="2"/>
    <col min="10" max="10" width="7.44140625" style="2" customWidth="1"/>
    <col min="11" max="11" width="11.44140625" style="2" customWidth="1"/>
    <col min="12" max="12" width="8.88671875" style="2"/>
    <col min="13" max="13" width="8.33203125" style="2" customWidth="1"/>
    <col min="14" max="14" width="7.21875" style="2" customWidth="1"/>
    <col min="15" max="15" width="5.33203125" style="2" customWidth="1"/>
    <col min="16" max="16" width="8.88671875" style="2"/>
    <col min="17" max="17" width="8.44140625" style="2" customWidth="1"/>
    <col min="18" max="16384" width="8.88671875" style="2"/>
  </cols>
  <sheetData>
    <row r="1" spans="1:17" ht="39" customHeight="1">
      <c r="A1" s="1"/>
      <c r="B1" s="1"/>
      <c r="C1" s="244" t="s">
        <v>0</v>
      </c>
      <c r="D1" s="245"/>
      <c r="E1" s="245"/>
      <c r="F1" s="245"/>
      <c r="G1" s="245"/>
      <c r="H1" s="245"/>
      <c r="I1" s="245"/>
      <c r="J1" s="245"/>
      <c r="K1" s="245"/>
      <c r="L1" s="245"/>
      <c r="M1" s="245"/>
      <c r="N1" s="245"/>
      <c r="O1" s="1"/>
      <c r="P1" s="1"/>
      <c r="Q1" s="1"/>
    </row>
    <row r="2" spans="1:17">
      <c r="A2" s="246" t="s">
        <v>1</v>
      </c>
      <c r="B2" s="246"/>
      <c r="C2" s="247" t="s">
        <v>2</v>
      </c>
      <c r="D2" s="247"/>
      <c r="E2" s="247"/>
      <c r="F2" s="3"/>
      <c r="G2" s="4" t="s">
        <v>3</v>
      </c>
      <c r="H2" s="247" t="s">
        <v>2</v>
      </c>
      <c r="I2" s="247"/>
      <c r="J2" s="247"/>
      <c r="K2" s="3"/>
      <c r="L2" s="3"/>
      <c r="M2" s="3"/>
      <c r="N2" s="3"/>
      <c r="O2" s="4"/>
      <c r="P2" s="3" t="s">
        <v>4</v>
      </c>
      <c r="Q2" s="3"/>
    </row>
    <row r="3" spans="1:17" ht="14.25" customHeight="1">
      <c r="A3" s="158" t="s">
        <v>5</v>
      </c>
      <c r="B3" s="155"/>
      <c r="C3" s="248"/>
      <c r="D3" s="249"/>
      <c r="E3" s="5" t="s">
        <v>6</v>
      </c>
      <c r="F3" s="6"/>
      <c r="G3" s="81" t="s">
        <v>133</v>
      </c>
      <c r="H3" s="250" t="str">
        <f ca="1">TEXT(源数据!B1,"yyyy年m月dd日")</f>
        <v>2024年8月12日</v>
      </c>
      <c r="I3" s="251"/>
      <c r="J3" s="252"/>
      <c r="K3" s="81" t="s">
        <v>134</v>
      </c>
      <c r="L3" s="250" t="str">
        <f ca="1">TEXT(源数据!B1,"yyyy年m月dd日")</f>
        <v>2024年8月12日</v>
      </c>
      <c r="M3" s="252"/>
      <c r="N3" s="158" t="s">
        <v>7</v>
      </c>
      <c r="O3" s="155"/>
      <c r="P3" s="155"/>
      <c r="Q3" s="159"/>
    </row>
    <row r="4" spans="1:17" ht="14.25" customHeight="1">
      <c r="A4" s="223" t="s">
        <v>18</v>
      </c>
      <c r="B4" s="224"/>
      <c r="C4" s="224"/>
      <c r="D4" s="225"/>
      <c r="E4" s="223" t="s">
        <v>8</v>
      </c>
      <c r="F4" s="213"/>
      <c r="G4" s="211"/>
      <c r="H4" s="212"/>
      <c r="I4" s="212"/>
      <c r="J4" s="213"/>
      <c r="K4" s="211"/>
      <c r="L4" s="212"/>
      <c r="M4" s="212"/>
      <c r="N4" s="211" t="s">
        <v>9</v>
      </c>
      <c r="O4" s="212"/>
      <c r="P4" s="212"/>
      <c r="Q4" s="213"/>
    </row>
    <row r="5" spans="1:17" ht="14.25" customHeight="1">
      <c r="A5" s="237" t="s">
        <v>10</v>
      </c>
      <c r="B5" s="238"/>
      <c r="C5" s="239"/>
      <c r="D5" s="240"/>
      <c r="E5" s="7" t="s">
        <v>11</v>
      </c>
      <c r="F5" s="6"/>
      <c r="G5" s="158" t="s">
        <v>12</v>
      </c>
      <c r="H5" s="155"/>
      <c r="I5" s="155"/>
      <c r="J5" s="159"/>
      <c r="K5" s="8" t="s">
        <v>126</v>
      </c>
      <c r="L5" s="9"/>
      <c r="M5" s="9"/>
      <c r="N5" s="241"/>
      <c r="O5" s="242"/>
      <c r="P5" s="242"/>
      <c r="Q5" s="243"/>
    </row>
    <row r="6" spans="1:17" ht="14.25" customHeight="1">
      <c r="A6" s="230" t="str">
        <f>源数据!B17</f>
        <v>OTSUKA CHEMICAL CO LTD</v>
      </c>
      <c r="B6" s="231"/>
      <c r="C6" s="231"/>
      <c r="D6" s="232"/>
      <c r="E6" s="223" t="s">
        <v>13</v>
      </c>
      <c r="F6" s="213"/>
      <c r="G6" s="211" t="s">
        <v>2</v>
      </c>
      <c r="H6" s="212"/>
      <c r="I6" s="212"/>
      <c r="J6" s="213"/>
      <c r="K6" s="223" t="str">
        <f>源数据!B5</f>
        <v>DHL9072950143</v>
      </c>
      <c r="L6" s="224"/>
      <c r="M6" s="225"/>
      <c r="N6" s="144"/>
      <c r="O6" s="145"/>
      <c r="P6" s="145"/>
      <c r="Q6" s="146"/>
    </row>
    <row r="7" spans="1:17" ht="14.25" customHeight="1">
      <c r="A7" s="214" t="s">
        <v>14</v>
      </c>
      <c r="B7" s="215"/>
      <c r="C7" s="233"/>
      <c r="D7" s="234"/>
      <c r="E7" s="7" t="s">
        <v>15</v>
      </c>
      <c r="F7" s="10"/>
      <c r="G7" s="158" t="s">
        <v>16</v>
      </c>
      <c r="H7" s="155"/>
      <c r="I7" s="235"/>
      <c r="J7" s="236"/>
      <c r="K7" s="8" t="s">
        <v>17</v>
      </c>
      <c r="L7" s="9"/>
      <c r="M7" s="9"/>
      <c r="N7" s="158"/>
      <c r="O7" s="155"/>
      <c r="P7" s="9"/>
      <c r="Q7" s="11"/>
    </row>
    <row r="8" spans="1:17" ht="14.25" customHeight="1">
      <c r="A8" s="223" t="s">
        <v>18</v>
      </c>
      <c r="B8" s="224"/>
      <c r="C8" s="224"/>
      <c r="D8" s="225"/>
      <c r="E8" s="226" t="s">
        <v>19</v>
      </c>
      <c r="F8" s="227"/>
      <c r="G8" s="228" t="s">
        <v>20</v>
      </c>
      <c r="H8" s="229"/>
      <c r="I8" s="229"/>
      <c r="J8" s="227"/>
      <c r="K8" s="211" t="s">
        <v>2</v>
      </c>
      <c r="L8" s="212"/>
      <c r="M8" s="213"/>
      <c r="N8" s="144"/>
      <c r="O8" s="145"/>
      <c r="P8" s="145"/>
      <c r="Q8" s="146"/>
    </row>
    <row r="9" spans="1:17" ht="14.25" customHeight="1">
      <c r="A9" s="158" t="s">
        <v>21</v>
      </c>
      <c r="B9" s="155"/>
      <c r="C9" s="156"/>
      <c r="D9" s="157"/>
      <c r="E9" s="7" t="s">
        <v>22</v>
      </c>
      <c r="F9" s="6"/>
      <c r="G9" s="158" t="s">
        <v>23</v>
      </c>
      <c r="H9" s="155"/>
      <c r="I9" s="156"/>
      <c r="J9" s="157"/>
      <c r="K9" s="12" t="s">
        <v>24</v>
      </c>
      <c r="L9" s="156"/>
      <c r="M9" s="157"/>
      <c r="N9" s="158" t="s">
        <v>25</v>
      </c>
      <c r="O9" s="155"/>
      <c r="P9" s="156"/>
      <c r="Q9" s="157"/>
    </row>
    <row r="10" spans="1:17" ht="14.25" customHeight="1">
      <c r="A10" s="217"/>
      <c r="B10" s="212"/>
      <c r="C10" s="212"/>
      <c r="D10" s="213"/>
      <c r="E10" s="218" t="str">
        <f>G10</f>
        <v>日本</v>
      </c>
      <c r="F10" s="219"/>
      <c r="G10" s="218" t="str">
        <f>源数据!B6</f>
        <v>日本</v>
      </c>
      <c r="H10" s="220"/>
      <c r="I10" s="220"/>
      <c r="J10" s="219"/>
      <c r="K10" s="218" t="str">
        <f>源数据!B6</f>
        <v>日本</v>
      </c>
      <c r="L10" s="221"/>
      <c r="M10" s="222"/>
      <c r="N10" s="211" t="s">
        <v>26</v>
      </c>
      <c r="O10" s="212"/>
      <c r="P10" s="212"/>
      <c r="Q10" s="213"/>
    </row>
    <row r="11" spans="1:17" ht="14.25" customHeight="1">
      <c r="A11" s="158" t="s">
        <v>27</v>
      </c>
      <c r="B11" s="155"/>
      <c r="C11" s="156"/>
      <c r="D11" s="157"/>
      <c r="E11" s="13" t="s">
        <v>28</v>
      </c>
      <c r="F11" s="13" t="s">
        <v>29</v>
      </c>
      <c r="G11" s="158" t="s">
        <v>30</v>
      </c>
      <c r="H11" s="159"/>
      <c r="I11" s="8" t="s">
        <v>31</v>
      </c>
      <c r="J11" s="11"/>
      <c r="K11" s="214" t="s">
        <v>32</v>
      </c>
      <c r="L11" s="215"/>
      <c r="M11" s="214" t="s">
        <v>33</v>
      </c>
      <c r="N11" s="215"/>
      <c r="O11" s="216"/>
      <c r="P11" s="214" t="s">
        <v>34</v>
      </c>
      <c r="Q11" s="216"/>
    </row>
    <row r="12" spans="1:17" ht="14.25" customHeight="1">
      <c r="A12" s="206" t="str">
        <f>源数据!B12</f>
        <v>纸箱</v>
      </c>
      <c r="B12" s="207"/>
      <c r="C12" s="207"/>
      <c r="D12" s="208"/>
      <c r="E12" s="14">
        <f>源数据!B8</f>
        <v>1</v>
      </c>
      <c r="F12" s="14">
        <f>源数据!B10</f>
        <v>0.8</v>
      </c>
      <c r="G12" s="209">
        <f>源数据!B9</f>
        <v>0.8</v>
      </c>
      <c r="H12" s="210"/>
      <c r="I12" s="15" t="s">
        <v>35</v>
      </c>
      <c r="J12" s="16"/>
      <c r="K12" s="211" t="s">
        <v>9</v>
      </c>
      <c r="L12" s="212"/>
      <c r="M12" s="211" t="s">
        <v>36</v>
      </c>
      <c r="N12" s="212"/>
      <c r="O12" s="213"/>
      <c r="P12" s="211"/>
      <c r="Q12" s="213"/>
    </row>
    <row r="13" spans="1:17" ht="14.25" customHeight="1">
      <c r="A13" s="158" t="s">
        <v>37</v>
      </c>
      <c r="B13" s="155"/>
      <c r="C13" s="155"/>
      <c r="D13" s="155"/>
      <c r="E13" s="155"/>
      <c r="F13" s="155"/>
      <c r="G13" s="155"/>
      <c r="H13" s="155"/>
      <c r="I13" s="155"/>
      <c r="J13" s="155"/>
      <c r="K13" s="155"/>
      <c r="L13" s="155"/>
      <c r="M13" s="155"/>
      <c r="N13" s="155"/>
      <c r="O13" s="155"/>
      <c r="P13" s="155"/>
      <c r="Q13" s="159"/>
    </row>
    <row r="14" spans="1:17" ht="20.100000000000001" customHeight="1">
      <c r="A14" s="199" t="s">
        <v>2</v>
      </c>
      <c r="B14" s="200"/>
      <c r="C14" s="200"/>
      <c r="D14" s="200"/>
      <c r="E14" s="200"/>
      <c r="F14" s="200"/>
      <c r="G14" s="200"/>
      <c r="H14" s="200"/>
      <c r="I14" s="200"/>
      <c r="J14" s="200"/>
      <c r="K14" s="200"/>
      <c r="L14" s="200"/>
      <c r="M14" s="200"/>
      <c r="N14" s="200"/>
      <c r="O14" s="200"/>
      <c r="P14" s="200"/>
      <c r="Q14" s="201"/>
    </row>
    <row r="15" spans="1:17" ht="14.25" customHeight="1">
      <c r="A15" s="17" t="s">
        <v>38</v>
      </c>
      <c r="B15" s="18"/>
      <c r="C15" s="18"/>
      <c r="D15" s="156"/>
      <c r="E15" s="156"/>
      <c r="F15" s="156"/>
      <c r="G15" s="156"/>
      <c r="H15" s="156"/>
      <c r="I15" s="156"/>
      <c r="J15" s="156"/>
      <c r="K15" s="156"/>
      <c r="L15" s="156"/>
      <c r="M15" s="156"/>
      <c r="N15" s="156"/>
      <c r="O15" s="156"/>
      <c r="P15" s="156"/>
      <c r="Q15" s="157"/>
    </row>
    <row r="16" spans="1:17" ht="24.9" customHeight="1">
      <c r="A16" s="202" t="s">
        <v>39</v>
      </c>
      <c r="B16" s="203"/>
      <c r="C16" s="203"/>
      <c r="D16" s="203"/>
      <c r="E16" s="203"/>
      <c r="F16" s="203"/>
      <c r="G16" s="203"/>
      <c r="H16" s="203"/>
      <c r="I16" s="203"/>
      <c r="J16" s="203"/>
      <c r="K16" s="203"/>
      <c r="L16" s="203"/>
      <c r="M16" s="203"/>
      <c r="N16" s="203"/>
      <c r="O16" s="203"/>
      <c r="P16" s="203"/>
      <c r="Q16" s="204"/>
    </row>
    <row r="17" spans="1:17" ht="15.9" customHeight="1">
      <c r="A17" s="19" t="s">
        <v>40</v>
      </c>
      <c r="B17" s="205" t="s">
        <v>41</v>
      </c>
      <c r="C17" s="205"/>
      <c r="D17" s="205" t="s">
        <v>42</v>
      </c>
      <c r="E17" s="205"/>
      <c r="F17" s="205"/>
      <c r="G17" s="20" t="s">
        <v>43</v>
      </c>
      <c r="H17" s="205" t="s">
        <v>44</v>
      </c>
      <c r="I17" s="205"/>
      <c r="J17" s="205"/>
      <c r="K17" s="20" t="s">
        <v>45</v>
      </c>
      <c r="L17" s="205" t="s">
        <v>127</v>
      </c>
      <c r="M17" s="205"/>
      <c r="N17" s="205" t="s">
        <v>46</v>
      </c>
      <c r="O17" s="205"/>
      <c r="P17" s="205"/>
      <c r="Q17" s="21" t="s">
        <v>47</v>
      </c>
    </row>
    <row r="18" spans="1:17">
      <c r="A18" s="160">
        <v>1</v>
      </c>
      <c r="B18" s="186" t="s">
        <v>206</v>
      </c>
      <c r="C18" s="186"/>
      <c r="D18" s="189" t="s">
        <v>236</v>
      </c>
      <c r="E18" s="190"/>
      <c r="F18" s="190"/>
      <c r="G18" s="193" t="str">
        <f>源数据!B9&amp;"千克"</f>
        <v>0.8千克</v>
      </c>
      <c r="H18" s="196" t="str">
        <f>"5/"&amp;G12*5&amp;"/USD"</f>
        <v>5/4/USD</v>
      </c>
      <c r="I18" s="196"/>
      <c r="J18" s="196"/>
      <c r="K18" s="172" t="s">
        <v>48</v>
      </c>
      <c r="L18" s="178" t="str">
        <f>源数据!B6</f>
        <v>日本</v>
      </c>
      <c r="M18" s="178"/>
      <c r="N18" s="181" t="s">
        <v>49</v>
      </c>
      <c r="O18" s="182"/>
      <c r="P18" s="182"/>
      <c r="Q18" s="185" t="s">
        <v>50</v>
      </c>
    </row>
    <row r="19" spans="1:17">
      <c r="A19" s="161"/>
      <c r="B19" s="187"/>
      <c r="C19" s="187"/>
      <c r="D19" s="191"/>
      <c r="E19" s="191"/>
      <c r="F19" s="191"/>
      <c r="G19" s="194"/>
      <c r="H19" s="197"/>
      <c r="I19" s="197"/>
      <c r="J19" s="197"/>
      <c r="K19" s="173"/>
      <c r="L19" s="179"/>
      <c r="M19" s="179"/>
      <c r="N19" s="183"/>
      <c r="O19" s="183"/>
      <c r="P19" s="183"/>
      <c r="Q19" s="176"/>
    </row>
    <row r="20" spans="1:17">
      <c r="A20" s="162"/>
      <c r="B20" s="188"/>
      <c r="C20" s="188"/>
      <c r="D20" s="192"/>
      <c r="E20" s="192"/>
      <c r="F20" s="192"/>
      <c r="G20" s="195"/>
      <c r="H20" s="198"/>
      <c r="I20" s="198"/>
      <c r="J20" s="198"/>
      <c r="K20" s="174"/>
      <c r="L20" s="180"/>
      <c r="M20" s="180"/>
      <c r="N20" s="184"/>
      <c r="O20" s="184"/>
      <c r="P20" s="184"/>
      <c r="Q20" s="177"/>
    </row>
    <row r="21" spans="1:17">
      <c r="A21" s="160"/>
      <c r="B21" s="186"/>
      <c r="C21" s="186"/>
      <c r="D21" s="166"/>
      <c r="E21" s="166"/>
      <c r="F21" s="166"/>
      <c r="G21" s="166"/>
      <c r="H21" s="172"/>
      <c r="I21" s="172"/>
      <c r="J21" s="172"/>
      <c r="K21" s="172"/>
      <c r="L21" s="166"/>
      <c r="M21" s="166"/>
      <c r="N21" s="166"/>
      <c r="O21" s="166"/>
      <c r="P21" s="166"/>
      <c r="Q21" s="175"/>
    </row>
    <row r="22" spans="1:17">
      <c r="A22" s="161"/>
      <c r="B22" s="187"/>
      <c r="C22" s="187"/>
      <c r="D22" s="167"/>
      <c r="E22" s="167"/>
      <c r="F22" s="167"/>
      <c r="G22" s="167"/>
      <c r="H22" s="173"/>
      <c r="I22" s="173"/>
      <c r="J22" s="173"/>
      <c r="K22" s="173"/>
      <c r="L22" s="167"/>
      <c r="M22" s="167"/>
      <c r="N22" s="167"/>
      <c r="O22" s="167"/>
      <c r="P22" s="167"/>
      <c r="Q22" s="176"/>
    </row>
    <row r="23" spans="1:17">
      <c r="A23" s="162"/>
      <c r="B23" s="188"/>
      <c r="C23" s="188"/>
      <c r="D23" s="168"/>
      <c r="E23" s="168"/>
      <c r="F23" s="168"/>
      <c r="G23" s="168"/>
      <c r="H23" s="174"/>
      <c r="I23" s="174"/>
      <c r="J23" s="174"/>
      <c r="K23" s="174"/>
      <c r="L23" s="168"/>
      <c r="M23" s="168"/>
      <c r="N23" s="168"/>
      <c r="O23" s="168"/>
      <c r="P23" s="168"/>
      <c r="Q23" s="177"/>
    </row>
    <row r="24" spans="1:17">
      <c r="A24" s="160"/>
      <c r="B24" s="163"/>
      <c r="C24" s="163"/>
      <c r="D24" s="166"/>
      <c r="E24" s="166"/>
      <c r="F24" s="166"/>
      <c r="G24" s="166"/>
      <c r="H24" s="169"/>
      <c r="I24" s="169"/>
      <c r="J24" s="169"/>
      <c r="K24" s="172"/>
      <c r="L24" s="166"/>
      <c r="M24" s="166"/>
      <c r="N24" s="166"/>
      <c r="O24" s="166"/>
      <c r="P24" s="166"/>
      <c r="Q24" s="175"/>
    </row>
    <row r="25" spans="1:17">
      <c r="A25" s="161"/>
      <c r="B25" s="164"/>
      <c r="C25" s="164"/>
      <c r="D25" s="167"/>
      <c r="E25" s="167"/>
      <c r="F25" s="167"/>
      <c r="G25" s="167"/>
      <c r="H25" s="170"/>
      <c r="I25" s="170"/>
      <c r="J25" s="170"/>
      <c r="K25" s="173"/>
      <c r="L25" s="167"/>
      <c r="M25" s="167"/>
      <c r="N25" s="167"/>
      <c r="O25" s="167"/>
      <c r="P25" s="167"/>
      <c r="Q25" s="176"/>
    </row>
    <row r="26" spans="1:17">
      <c r="A26" s="162"/>
      <c r="B26" s="165"/>
      <c r="C26" s="165"/>
      <c r="D26" s="168"/>
      <c r="E26" s="168"/>
      <c r="F26" s="168"/>
      <c r="G26" s="168"/>
      <c r="H26" s="171"/>
      <c r="I26" s="171"/>
      <c r="J26" s="171"/>
      <c r="K26" s="174"/>
      <c r="L26" s="168"/>
      <c r="M26" s="168"/>
      <c r="N26" s="168"/>
      <c r="O26" s="168"/>
      <c r="P26" s="168"/>
      <c r="Q26" s="177"/>
    </row>
    <row r="27" spans="1:17">
      <c r="A27" s="160"/>
      <c r="B27" s="163"/>
      <c r="C27" s="163"/>
      <c r="D27" s="166"/>
      <c r="E27" s="166"/>
      <c r="F27" s="166"/>
      <c r="G27" s="166"/>
      <c r="H27" s="169"/>
      <c r="I27" s="169"/>
      <c r="J27" s="169"/>
      <c r="K27" s="172"/>
      <c r="L27" s="166"/>
      <c r="M27" s="166"/>
      <c r="N27" s="166"/>
      <c r="O27" s="166"/>
      <c r="P27" s="166"/>
      <c r="Q27" s="175"/>
    </row>
    <row r="28" spans="1:17">
      <c r="A28" s="161"/>
      <c r="B28" s="164"/>
      <c r="C28" s="164"/>
      <c r="D28" s="167"/>
      <c r="E28" s="167"/>
      <c r="F28" s="167"/>
      <c r="G28" s="167"/>
      <c r="H28" s="170"/>
      <c r="I28" s="170"/>
      <c r="J28" s="170"/>
      <c r="K28" s="173"/>
      <c r="L28" s="167"/>
      <c r="M28" s="167"/>
      <c r="N28" s="167"/>
      <c r="O28" s="167"/>
      <c r="P28" s="167"/>
      <c r="Q28" s="176"/>
    </row>
    <row r="29" spans="1:17">
      <c r="A29" s="162"/>
      <c r="B29" s="165"/>
      <c r="C29" s="165"/>
      <c r="D29" s="168"/>
      <c r="E29" s="168"/>
      <c r="F29" s="168"/>
      <c r="G29" s="168"/>
      <c r="H29" s="171"/>
      <c r="I29" s="171"/>
      <c r="J29" s="171"/>
      <c r="K29" s="174"/>
      <c r="L29" s="168"/>
      <c r="M29" s="168"/>
      <c r="N29" s="168"/>
      <c r="O29" s="168"/>
      <c r="P29" s="168"/>
      <c r="Q29" s="177"/>
    </row>
    <row r="30" spans="1:17">
      <c r="A30" s="160"/>
      <c r="B30" s="163"/>
      <c r="C30" s="163"/>
      <c r="D30" s="166"/>
      <c r="E30" s="166"/>
      <c r="F30" s="166"/>
      <c r="G30" s="166"/>
      <c r="H30" s="169"/>
      <c r="I30" s="169"/>
      <c r="J30" s="169"/>
      <c r="K30" s="172"/>
      <c r="L30" s="166"/>
      <c r="M30" s="166"/>
      <c r="N30" s="166"/>
      <c r="O30" s="166"/>
      <c r="P30" s="166"/>
      <c r="Q30" s="175"/>
    </row>
    <row r="31" spans="1:17">
      <c r="A31" s="161"/>
      <c r="B31" s="164"/>
      <c r="C31" s="164"/>
      <c r="D31" s="167"/>
      <c r="E31" s="167"/>
      <c r="F31" s="167"/>
      <c r="G31" s="167"/>
      <c r="H31" s="170"/>
      <c r="I31" s="170"/>
      <c r="J31" s="170"/>
      <c r="K31" s="173"/>
      <c r="L31" s="167"/>
      <c r="M31" s="167"/>
      <c r="N31" s="167"/>
      <c r="O31" s="167"/>
      <c r="P31" s="167"/>
      <c r="Q31" s="176"/>
    </row>
    <row r="32" spans="1:17">
      <c r="A32" s="162"/>
      <c r="B32" s="165"/>
      <c r="C32" s="165"/>
      <c r="D32" s="168"/>
      <c r="E32" s="168"/>
      <c r="F32" s="168"/>
      <c r="G32" s="168"/>
      <c r="H32" s="171"/>
      <c r="I32" s="171"/>
      <c r="J32" s="171"/>
      <c r="K32" s="174"/>
      <c r="L32" s="168"/>
      <c r="M32" s="168"/>
      <c r="N32" s="168"/>
      <c r="O32" s="168"/>
      <c r="P32" s="168"/>
      <c r="Q32" s="177"/>
    </row>
    <row r="33" spans="1:17">
      <c r="A33" s="160"/>
      <c r="B33" s="163"/>
      <c r="C33" s="163"/>
      <c r="D33" s="166"/>
      <c r="E33" s="166"/>
      <c r="F33" s="166"/>
      <c r="G33" s="166"/>
      <c r="H33" s="169"/>
      <c r="I33" s="169"/>
      <c r="J33" s="169"/>
      <c r="K33" s="172"/>
      <c r="L33" s="166"/>
      <c r="M33" s="166"/>
      <c r="N33" s="166"/>
      <c r="O33" s="166"/>
      <c r="P33" s="166"/>
      <c r="Q33" s="175"/>
    </row>
    <row r="34" spans="1:17">
      <c r="A34" s="161"/>
      <c r="B34" s="164"/>
      <c r="C34" s="164"/>
      <c r="D34" s="167"/>
      <c r="E34" s="167"/>
      <c r="F34" s="167"/>
      <c r="G34" s="167"/>
      <c r="H34" s="170"/>
      <c r="I34" s="170"/>
      <c r="J34" s="170"/>
      <c r="K34" s="173"/>
      <c r="L34" s="167"/>
      <c r="M34" s="167"/>
      <c r="N34" s="167"/>
      <c r="O34" s="167"/>
      <c r="P34" s="167"/>
      <c r="Q34" s="176"/>
    </row>
    <row r="35" spans="1:17">
      <c r="A35" s="162"/>
      <c r="B35" s="165"/>
      <c r="C35" s="165"/>
      <c r="D35" s="168"/>
      <c r="E35" s="168"/>
      <c r="F35" s="168"/>
      <c r="G35" s="168"/>
      <c r="H35" s="171"/>
      <c r="I35" s="171"/>
      <c r="J35" s="171"/>
      <c r="K35" s="174"/>
      <c r="L35" s="168"/>
      <c r="M35" s="168"/>
      <c r="N35" s="168"/>
      <c r="O35" s="168"/>
      <c r="P35" s="168"/>
      <c r="Q35" s="177"/>
    </row>
    <row r="36" spans="1:17">
      <c r="A36" s="160"/>
      <c r="B36" s="163"/>
      <c r="C36" s="163"/>
      <c r="D36" s="166"/>
      <c r="E36" s="166"/>
      <c r="F36" s="166"/>
      <c r="G36" s="166"/>
      <c r="H36" s="169"/>
      <c r="I36" s="169"/>
      <c r="J36" s="169"/>
      <c r="K36" s="172"/>
      <c r="L36" s="166"/>
      <c r="M36" s="166"/>
      <c r="N36" s="166"/>
      <c r="O36" s="166"/>
      <c r="P36" s="166"/>
      <c r="Q36" s="175"/>
    </row>
    <row r="37" spans="1:17">
      <c r="A37" s="161"/>
      <c r="B37" s="164"/>
      <c r="C37" s="164"/>
      <c r="D37" s="167"/>
      <c r="E37" s="167"/>
      <c r="F37" s="167"/>
      <c r="G37" s="167"/>
      <c r="H37" s="170"/>
      <c r="I37" s="170"/>
      <c r="J37" s="170"/>
      <c r="K37" s="173"/>
      <c r="L37" s="167"/>
      <c r="M37" s="167"/>
      <c r="N37" s="167"/>
      <c r="O37" s="167"/>
      <c r="P37" s="167"/>
      <c r="Q37" s="176"/>
    </row>
    <row r="38" spans="1:17">
      <c r="A38" s="162"/>
      <c r="B38" s="165"/>
      <c r="C38" s="165"/>
      <c r="D38" s="168"/>
      <c r="E38" s="168"/>
      <c r="F38" s="168"/>
      <c r="G38" s="168"/>
      <c r="H38" s="171"/>
      <c r="I38" s="171"/>
      <c r="J38" s="171"/>
      <c r="K38" s="174"/>
      <c r="L38" s="168"/>
      <c r="M38" s="168"/>
      <c r="N38" s="168"/>
      <c r="O38" s="168"/>
      <c r="P38" s="168"/>
      <c r="Q38" s="177"/>
    </row>
    <row r="39" spans="1:17">
      <c r="A39" s="160"/>
      <c r="B39" s="163"/>
      <c r="C39" s="163"/>
      <c r="D39" s="166"/>
      <c r="E39" s="166"/>
      <c r="F39" s="166"/>
      <c r="G39" s="166"/>
      <c r="H39" s="169"/>
      <c r="I39" s="169"/>
      <c r="J39" s="169"/>
      <c r="K39" s="172"/>
      <c r="L39" s="166"/>
      <c r="M39" s="166"/>
      <c r="N39" s="166"/>
      <c r="O39" s="166"/>
      <c r="P39" s="166"/>
      <c r="Q39" s="175"/>
    </row>
    <row r="40" spans="1:17">
      <c r="A40" s="161"/>
      <c r="B40" s="164"/>
      <c r="C40" s="164"/>
      <c r="D40" s="167"/>
      <c r="E40" s="167"/>
      <c r="F40" s="167"/>
      <c r="G40" s="167"/>
      <c r="H40" s="170"/>
      <c r="I40" s="170"/>
      <c r="J40" s="170"/>
      <c r="K40" s="173"/>
      <c r="L40" s="167"/>
      <c r="M40" s="167"/>
      <c r="N40" s="167"/>
      <c r="O40" s="167"/>
      <c r="P40" s="167"/>
      <c r="Q40" s="176"/>
    </row>
    <row r="41" spans="1:17">
      <c r="A41" s="162"/>
      <c r="B41" s="165"/>
      <c r="C41" s="165"/>
      <c r="D41" s="168"/>
      <c r="E41" s="168"/>
      <c r="F41" s="168"/>
      <c r="G41" s="168"/>
      <c r="H41" s="171"/>
      <c r="I41" s="171"/>
      <c r="J41" s="171"/>
      <c r="K41" s="174"/>
      <c r="L41" s="168"/>
      <c r="M41" s="168"/>
      <c r="N41" s="168"/>
      <c r="O41" s="168"/>
      <c r="P41" s="168"/>
      <c r="Q41" s="177"/>
    </row>
    <row r="42" spans="1:17" ht="18.899999999999999" customHeight="1">
      <c r="A42" s="22"/>
      <c r="B42" s="23"/>
      <c r="C42" s="23"/>
      <c r="D42" s="24" t="s">
        <v>51</v>
      </c>
      <c r="E42" s="153" t="s">
        <v>52</v>
      </c>
      <c r="F42" s="153"/>
      <c r="G42" s="23" t="s">
        <v>53</v>
      </c>
      <c r="H42" s="153" t="s">
        <v>54</v>
      </c>
      <c r="I42" s="153"/>
      <c r="J42" s="154" t="s">
        <v>55</v>
      </c>
      <c r="K42" s="154"/>
      <c r="L42" s="154"/>
      <c r="M42" s="153" t="s">
        <v>54</v>
      </c>
      <c r="N42" s="153"/>
      <c r="O42" s="154" t="s">
        <v>56</v>
      </c>
      <c r="P42" s="154"/>
      <c r="Q42" s="25"/>
    </row>
    <row r="43" spans="1:17">
      <c r="A43" s="17" t="s">
        <v>57</v>
      </c>
      <c r="B43" s="155" t="s">
        <v>2</v>
      </c>
      <c r="C43" s="155"/>
      <c r="D43" s="26" t="s">
        <v>58</v>
      </c>
      <c r="E43" s="18" t="s">
        <v>2</v>
      </c>
      <c r="F43" s="26" t="s">
        <v>59</v>
      </c>
      <c r="G43" s="18" t="s">
        <v>2</v>
      </c>
      <c r="H43" s="156" t="s">
        <v>60</v>
      </c>
      <c r="I43" s="156"/>
      <c r="J43" s="156"/>
      <c r="K43" s="156"/>
      <c r="L43" s="157"/>
      <c r="M43" s="158" t="s">
        <v>61</v>
      </c>
      <c r="N43" s="155"/>
      <c r="O43" s="155"/>
      <c r="P43" s="155"/>
      <c r="Q43" s="159"/>
    </row>
    <row r="44" spans="1:17">
      <c r="A44" s="27"/>
      <c r="B44" s="28"/>
      <c r="C44" s="28"/>
      <c r="D44" s="28"/>
      <c r="E44" s="28"/>
      <c r="F44" s="28"/>
      <c r="G44" s="28"/>
      <c r="H44" s="28"/>
      <c r="I44" s="28"/>
      <c r="J44" s="28"/>
      <c r="K44" s="28"/>
      <c r="L44" s="28"/>
      <c r="M44" s="141"/>
      <c r="N44" s="142"/>
      <c r="O44" s="142"/>
      <c r="P44" s="142"/>
      <c r="Q44" s="143"/>
    </row>
    <row r="45" spans="1:17" ht="18.75" customHeight="1">
      <c r="A45" s="147" t="s">
        <v>62</v>
      </c>
      <c r="B45" s="148"/>
      <c r="C45" s="149" t="s">
        <v>2</v>
      </c>
      <c r="D45" s="149"/>
      <c r="E45" s="149"/>
      <c r="F45" s="149"/>
      <c r="G45" s="149"/>
      <c r="H45" s="29"/>
      <c r="I45" s="29"/>
      <c r="J45" s="150" t="s">
        <v>63</v>
      </c>
      <c r="K45" s="150"/>
      <c r="L45" s="29"/>
      <c r="M45" s="144"/>
      <c r="N45" s="145"/>
      <c r="O45" s="145"/>
      <c r="P45" s="145"/>
      <c r="Q45" s="146"/>
    </row>
    <row r="46" spans="1:17" ht="39" customHeight="1">
      <c r="A46" s="151"/>
      <c r="B46" s="152"/>
      <c r="C46" s="152"/>
      <c r="D46" s="152"/>
      <c r="E46" s="152"/>
      <c r="F46" s="152"/>
      <c r="G46" s="152"/>
      <c r="H46" s="152"/>
      <c r="I46" s="152"/>
      <c r="J46" s="152"/>
      <c r="K46" s="152"/>
      <c r="L46" s="152"/>
      <c r="M46" s="152"/>
      <c r="N46" s="152"/>
      <c r="O46" s="152"/>
      <c r="P46" s="152"/>
      <c r="Q46" s="152"/>
    </row>
  </sheetData>
  <mergeCells count="150">
    <mergeCell ref="C1:N1"/>
    <mergeCell ref="A2:B2"/>
    <mergeCell ref="C2:E2"/>
    <mergeCell ref="H2:J2"/>
    <mergeCell ref="A3:B3"/>
    <mergeCell ref="C3:D3"/>
    <mergeCell ref="N3:Q3"/>
    <mergeCell ref="H3:J3"/>
    <mergeCell ref="L3:M3"/>
    <mergeCell ref="A4:D4"/>
    <mergeCell ref="E4:F4"/>
    <mergeCell ref="G4:J4"/>
    <mergeCell ref="K4:M4"/>
    <mergeCell ref="N4:Q4"/>
    <mergeCell ref="A5:B5"/>
    <mergeCell ref="C5:D5"/>
    <mergeCell ref="G5:J5"/>
    <mergeCell ref="N5:Q5"/>
    <mergeCell ref="A6:D6"/>
    <mergeCell ref="E6:F6"/>
    <mergeCell ref="G6:J6"/>
    <mergeCell ref="K6:M6"/>
    <mergeCell ref="N6:Q6"/>
    <mergeCell ref="A7:B7"/>
    <mergeCell ref="C7:D7"/>
    <mergeCell ref="G7:H7"/>
    <mergeCell ref="I7:J7"/>
    <mergeCell ref="N7:O7"/>
    <mergeCell ref="A8:D8"/>
    <mergeCell ref="E8:F8"/>
    <mergeCell ref="G8:J8"/>
    <mergeCell ref="K8:M8"/>
    <mergeCell ref="N8:Q8"/>
    <mergeCell ref="A9:B9"/>
    <mergeCell ref="C9:D9"/>
    <mergeCell ref="G9:H9"/>
    <mergeCell ref="I9:J9"/>
    <mergeCell ref="L9:M9"/>
    <mergeCell ref="A11:B11"/>
    <mergeCell ref="C11:D11"/>
    <mergeCell ref="G11:H11"/>
    <mergeCell ref="K11:L11"/>
    <mergeCell ref="M11:O11"/>
    <mergeCell ref="P11:Q11"/>
    <mergeCell ref="N9:O9"/>
    <mergeCell ref="P9:Q9"/>
    <mergeCell ref="A10:D10"/>
    <mergeCell ref="E10:F10"/>
    <mergeCell ref="G10:J10"/>
    <mergeCell ref="K10:M10"/>
    <mergeCell ref="N10:Q10"/>
    <mergeCell ref="A14:Q14"/>
    <mergeCell ref="D15:Q15"/>
    <mergeCell ref="A16:Q16"/>
    <mergeCell ref="B17:C17"/>
    <mergeCell ref="D17:F17"/>
    <mergeCell ref="H17:J17"/>
    <mergeCell ref="L17:M17"/>
    <mergeCell ref="N17:P17"/>
    <mergeCell ref="A12:D12"/>
    <mergeCell ref="G12:H12"/>
    <mergeCell ref="K12:L12"/>
    <mergeCell ref="M12:O12"/>
    <mergeCell ref="P12:Q12"/>
    <mergeCell ref="A13:Q13"/>
    <mergeCell ref="L18:M20"/>
    <mergeCell ref="N18:P20"/>
    <mergeCell ref="Q18:Q20"/>
    <mergeCell ref="A21:A23"/>
    <mergeCell ref="B21:C23"/>
    <mergeCell ref="D21:F23"/>
    <mergeCell ref="G21:G23"/>
    <mergeCell ref="H21:J23"/>
    <mergeCell ref="K21:K23"/>
    <mergeCell ref="L21:M23"/>
    <mergeCell ref="A18:A20"/>
    <mergeCell ref="B18:C20"/>
    <mergeCell ref="D18:F20"/>
    <mergeCell ref="G18:G20"/>
    <mergeCell ref="H18:J20"/>
    <mergeCell ref="K18:K20"/>
    <mergeCell ref="N21:P23"/>
    <mergeCell ref="Q21:Q23"/>
    <mergeCell ref="A24:A26"/>
    <mergeCell ref="B24:C26"/>
    <mergeCell ref="D24:F26"/>
    <mergeCell ref="G24:G26"/>
    <mergeCell ref="H24:J26"/>
    <mergeCell ref="K24:K26"/>
    <mergeCell ref="L24:M26"/>
    <mergeCell ref="N24:P26"/>
    <mergeCell ref="Q24:Q26"/>
    <mergeCell ref="A27:A29"/>
    <mergeCell ref="B27:C29"/>
    <mergeCell ref="D27:F29"/>
    <mergeCell ref="G27:G29"/>
    <mergeCell ref="H27:J29"/>
    <mergeCell ref="K27:K29"/>
    <mergeCell ref="L27:M29"/>
    <mergeCell ref="N27:P29"/>
    <mergeCell ref="Q27:Q29"/>
    <mergeCell ref="L30:M32"/>
    <mergeCell ref="N30:P32"/>
    <mergeCell ref="Q30:Q32"/>
    <mergeCell ref="A33:A35"/>
    <mergeCell ref="B33:C35"/>
    <mergeCell ref="D33:F35"/>
    <mergeCell ref="G33:G35"/>
    <mergeCell ref="H33:J35"/>
    <mergeCell ref="K33:K35"/>
    <mergeCell ref="L33:M35"/>
    <mergeCell ref="A30:A32"/>
    <mergeCell ref="B30:C32"/>
    <mergeCell ref="D30:F32"/>
    <mergeCell ref="G30:G32"/>
    <mergeCell ref="H30:J32"/>
    <mergeCell ref="K30:K32"/>
    <mergeCell ref="N33:P35"/>
    <mergeCell ref="Q33:Q35"/>
    <mergeCell ref="A36:A38"/>
    <mergeCell ref="B36:C38"/>
    <mergeCell ref="D36:F38"/>
    <mergeCell ref="G36:G38"/>
    <mergeCell ref="H36:J38"/>
    <mergeCell ref="K36:K38"/>
    <mergeCell ref="L36:M38"/>
    <mergeCell ref="N36:P38"/>
    <mergeCell ref="Q36:Q38"/>
    <mergeCell ref="A39:A41"/>
    <mergeCell ref="B39:C41"/>
    <mergeCell ref="D39:F41"/>
    <mergeCell ref="G39:G41"/>
    <mergeCell ref="H39:J41"/>
    <mergeCell ref="K39:K41"/>
    <mergeCell ref="L39:M41"/>
    <mergeCell ref="N39:P41"/>
    <mergeCell ref="Q39:Q41"/>
    <mergeCell ref="M44:Q45"/>
    <mergeCell ref="A45:B45"/>
    <mergeCell ref="C45:G45"/>
    <mergeCell ref="J45:K45"/>
    <mergeCell ref="A46:Q46"/>
    <mergeCell ref="E42:F42"/>
    <mergeCell ref="H42:I42"/>
    <mergeCell ref="J42:L42"/>
    <mergeCell ref="M42:N42"/>
    <mergeCell ref="O42:P42"/>
    <mergeCell ref="B43:C43"/>
    <mergeCell ref="H43:L43"/>
    <mergeCell ref="M43:Q43"/>
  </mergeCells>
  <phoneticPr fontId="2" type="noConversion"/>
  <printOptions horizontalCentered="1"/>
  <pageMargins left="0.39370078740157483" right="0.39370078740157483" top="0.31496062992125984" bottom="0.31496062992125984" header="0.74803149606299213" footer="0.31496062992125984"/>
  <pageSetup paperSize="9" scale="8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9"/>
  <sheetViews>
    <sheetView topLeftCell="A22" zoomScaleNormal="100" workbookViewId="0">
      <selection activeCell="N19" sqref="N19"/>
    </sheetView>
  </sheetViews>
  <sheetFormatPr defaultRowHeight="13.8"/>
  <cols>
    <col min="1" max="1" width="15.77734375" customWidth="1"/>
    <col min="2" max="3" width="13.77734375" customWidth="1"/>
    <col min="4" max="4" width="1.109375" customWidth="1"/>
    <col min="5" max="5" width="15.77734375" customWidth="1"/>
    <col min="6" max="6" width="14.44140625" customWidth="1"/>
    <col min="7" max="7" width="13.77734375" customWidth="1"/>
  </cols>
  <sheetData>
    <row r="1" spans="1:7" ht="45" customHeight="1">
      <c r="A1" s="261" t="s">
        <v>168</v>
      </c>
      <c r="B1" s="262"/>
      <c r="C1" s="262"/>
      <c r="D1" s="262"/>
      <c r="E1" s="262"/>
      <c r="F1" s="262"/>
      <c r="G1" s="262"/>
    </row>
    <row r="2" spans="1:7">
      <c r="A2" s="263" t="s">
        <v>172</v>
      </c>
      <c r="B2" s="263"/>
      <c r="C2" s="263"/>
      <c r="D2" s="263"/>
      <c r="E2" s="263"/>
      <c r="F2" s="263"/>
      <c r="G2" s="263"/>
    </row>
    <row r="3" spans="1:7" ht="48" customHeight="1">
      <c r="A3" s="259" t="s">
        <v>167</v>
      </c>
      <c r="B3" s="259"/>
      <c r="C3" s="259"/>
      <c r="D3" s="259"/>
      <c r="E3" s="259"/>
      <c r="F3" s="259"/>
      <c r="G3" s="259"/>
    </row>
    <row r="4" spans="1:7" ht="30" customHeight="1">
      <c r="A4" s="259" t="s">
        <v>166</v>
      </c>
      <c r="B4" s="259"/>
      <c r="C4" s="259"/>
      <c r="D4" s="259"/>
      <c r="E4" s="259"/>
      <c r="F4" s="259"/>
      <c r="G4" s="259"/>
    </row>
    <row r="5" spans="1:7" ht="24.6" customHeight="1">
      <c r="A5" s="259" t="s">
        <v>173</v>
      </c>
      <c r="B5" s="259"/>
      <c r="C5" s="259"/>
      <c r="D5" s="259"/>
      <c r="E5" s="259"/>
      <c r="F5" s="259"/>
      <c r="G5" s="259"/>
    </row>
    <row r="6" spans="1:7" ht="6" customHeight="1">
      <c r="A6" s="260"/>
      <c r="B6" s="260"/>
      <c r="C6" s="260"/>
      <c r="D6" s="260"/>
      <c r="E6" s="260"/>
      <c r="F6" s="260"/>
      <c r="G6" s="260"/>
    </row>
    <row r="7" spans="1:7" ht="25.2" customHeight="1">
      <c r="A7" s="260" t="s">
        <v>171</v>
      </c>
      <c r="B7" s="260"/>
      <c r="C7" s="260"/>
      <c r="D7" s="260"/>
      <c r="E7" s="260"/>
      <c r="F7" s="260"/>
      <c r="G7" s="260"/>
    </row>
    <row r="8" spans="1:7" ht="25.2" customHeight="1">
      <c r="A8" s="260" t="s">
        <v>170</v>
      </c>
      <c r="B8" s="260"/>
      <c r="C8" s="260"/>
      <c r="D8" s="260"/>
      <c r="E8" s="260"/>
      <c r="F8" s="260"/>
      <c r="G8" s="260"/>
    </row>
    <row r="9" spans="1:7" ht="25.2" customHeight="1">
      <c r="A9" s="260" t="s">
        <v>169</v>
      </c>
      <c r="B9" s="260"/>
      <c r="C9" s="260"/>
      <c r="D9" s="260"/>
      <c r="E9" s="260"/>
      <c r="F9" s="260"/>
      <c r="G9" s="260"/>
    </row>
    <row r="10" spans="1:7" s="84" customFormat="1" ht="42" customHeight="1">
      <c r="A10" s="261" t="s">
        <v>165</v>
      </c>
      <c r="B10" s="262"/>
      <c r="C10" s="262"/>
      <c r="D10" s="262"/>
      <c r="E10" s="262"/>
      <c r="F10" s="262"/>
      <c r="G10" s="262"/>
    </row>
    <row r="11" spans="1:7" ht="25.2" customHeight="1">
      <c r="A11" s="268" t="s">
        <v>164</v>
      </c>
      <c r="B11" s="268"/>
      <c r="C11" s="268"/>
      <c r="D11" s="268"/>
      <c r="E11" s="268"/>
      <c r="F11" s="268"/>
      <c r="G11" s="268"/>
    </row>
    <row r="12" spans="1:7" ht="25.2" customHeight="1">
      <c r="A12" s="85" t="s">
        <v>138</v>
      </c>
      <c r="B12" s="253" t="str">
        <f>源数据!B2</f>
        <v>张家港大塚化学有限公司</v>
      </c>
      <c r="C12" s="253"/>
      <c r="D12" s="86"/>
      <c r="E12" s="85" t="s">
        <v>150</v>
      </c>
      <c r="F12" s="253"/>
      <c r="G12" s="253"/>
    </row>
    <row r="13" spans="1:7" ht="25.2" customHeight="1">
      <c r="A13" s="85" t="s">
        <v>139</v>
      </c>
      <c r="B13" s="253" t="str">
        <f>源数据!B3</f>
        <v>钛酸钾（钛拉塞斯）</v>
      </c>
      <c r="C13" s="253"/>
      <c r="D13" s="86"/>
      <c r="E13" s="85" t="s">
        <v>151</v>
      </c>
      <c r="F13" s="254" t="s">
        <v>152</v>
      </c>
      <c r="G13" s="254"/>
    </row>
    <row r="14" spans="1:7" ht="25.2" customHeight="1">
      <c r="A14" s="85" t="s">
        <v>205</v>
      </c>
      <c r="B14" s="253">
        <f>源数据!B4</f>
        <v>2841900090</v>
      </c>
      <c r="C14" s="253"/>
      <c r="D14" s="86"/>
      <c r="E14" s="85" t="s">
        <v>153</v>
      </c>
      <c r="F14" s="253"/>
      <c r="G14" s="253"/>
    </row>
    <row r="15" spans="1:7" ht="25.2" customHeight="1">
      <c r="A15" s="85" t="s">
        <v>141</v>
      </c>
      <c r="B15" s="253" t="str">
        <f ca="1">TEXT(源数据!B1,"yyyy年m月dd日")</f>
        <v>2024年8月12日</v>
      </c>
      <c r="C15" s="253"/>
      <c r="D15" s="86"/>
      <c r="E15" s="253" t="s">
        <v>154</v>
      </c>
      <c r="F15" s="85" t="s">
        <v>174</v>
      </c>
      <c r="G15" s="85" t="s">
        <v>175</v>
      </c>
    </row>
    <row r="16" spans="1:7" ht="25.2" customHeight="1">
      <c r="A16" s="85" t="s">
        <v>142</v>
      </c>
      <c r="B16" s="253" t="str">
        <f>源数据!B5</f>
        <v>DHL9072950143</v>
      </c>
      <c r="C16" s="253"/>
      <c r="D16" s="86"/>
      <c r="E16" s="253"/>
      <c r="F16" s="85" t="s">
        <v>176</v>
      </c>
      <c r="G16" s="85" t="s">
        <v>177</v>
      </c>
    </row>
    <row r="17" spans="1:7" ht="25.2" customHeight="1">
      <c r="A17" s="85" t="s">
        <v>143</v>
      </c>
      <c r="B17" s="253" t="str">
        <f>源数据!B7</f>
        <v>FCA</v>
      </c>
      <c r="C17" s="253"/>
      <c r="D17" s="86"/>
      <c r="E17" s="253"/>
      <c r="F17" s="85" t="s">
        <v>178</v>
      </c>
      <c r="G17" s="85" t="s">
        <v>179</v>
      </c>
    </row>
    <row r="18" spans="1:7" ht="25.2" customHeight="1">
      <c r="A18" s="85" t="s">
        <v>144</v>
      </c>
      <c r="B18" s="253" t="str">
        <f>源数据!B10&amp;"千克"</f>
        <v>0.8千克</v>
      </c>
      <c r="C18" s="253"/>
      <c r="D18" s="86"/>
      <c r="E18" s="253"/>
      <c r="F18" s="258" t="s">
        <v>155</v>
      </c>
      <c r="G18" s="258"/>
    </row>
    <row r="19" spans="1:7" ht="25.2" customHeight="1">
      <c r="A19" s="85" t="s">
        <v>145</v>
      </c>
      <c r="B19" s="253" t="str">
        <f>源数据!B12</f>
        <v>纸箱</v>
      </c>
      <c r="C19" s="253"/>
      <c r="D19" s="86"/>
      <c r="E19" s="253"/>
      <c r="F19" s="258"/>
      <c r="G19" s="258"/>
    </row>
    <row r="20" spans="1:7" ht="25.2" customHeight="1">
      <c r="A20" s="85" t="s">
        <v>146</v>
      </c>
      <c r="B20" s="253" t="str">
        <f>源数据!B13</f>
        <v>张家港</v>
      </c>
      <c r="C20" s="253"/>
      <c r="D20" s="86"/>
      <c r="E20" s="253"/>
      <c r="F20" s="258"/>
      <c r="G20" s="258"/>
    </row>
    <row r="21" spans="1:7" ht="25.2" customHeight="1">
      <c r="A21" s="85"/>
      <c r="B21" s="253"/>
      <c r="C21" s="253"/>
      <c r="D21" s="86"/>
      <c r="E21" s="85" t="s">
        <v>156</v>
      </c>
      <c r="F21" s="254" t="s">
        <v>180</v>
      </c>
      <c r="G21" s="254"/>
    </row>
    <row r="22" spans="1:7" ht="85.95" customHeight="1">
      <c r="A22" s="258" t="s">
        <v>147</v>
      </c>
      <c r="B22" s="258"/>
      <c r="C22" s="258"/>
      <c r="D22" s="86"/>
      <c r="E22" s="258" t="s">
        <v>157</v>
      </c>
      <c r="F22" s="258"/>
      <c r="G22" s="258"/>
    </row>
    <row r="23" spans="1:7" ht="28.95" customHeight="1">
      <c r="A23" s="255" t="s">
        <v>148</v>
      </c>
      <c r="B23" s="255"/>
      <c r="C23" s="255"/>
      <c r="D23" s="88"/>
      <c r="E23" s="255" t="s">
        <v>158</v>
      </c>
      <c r="F23" s="255"/>
      <c r="G23" s="255"/>
    </row>
    <row r="24" spans="1:7" ht="25.2" customHeight="1">
      <c r="A24" s="257" t="s">
        <v>149</v>
      </c>
      <c r="B24" s="257"/>
      <c r="C24" s="257"/>
      <c r="D24" s="87"/>
      <c r="E24" s="257" t="s">
        <v>159</v>
      </c>
      <c r="F24" s="257"/>
      <c r="G24" s="257"/>
    </row>
    <row r="25" spans="1:7" ht="84" customHeight="1">
      <c r="A25" s="256"/>
      <c r="B25" s="256"/>
      <c r="C25" s="256"/>
      <c r="D25" s="86"/>
      <c r="E25" s="256"/>
      <c r="F25" s="256"/>
      <c r="G25" s="256"/>
    </row>
    <row r="26" spans="1:7" ht="25.2" customHeight="1">
      <c r="A26" s="85" t="s">
        <v>163</v>
      </c>
      <c r="B26" s="253"/>
      <c r="C26" s="253"/>
      <c r="D26" s="86"/>
      <c r="E26" s="85" t="s">
        <v>160</v>
      </c>
      <c r="F26" s="253"/>
      <c r="G26" s="253"/>
    </row>
    <row r="27" spans="1:7" ht="25.2" customHeight="1">
      <c r="A27" s="85" t="s">
        <v>162</v>
      </c>
      <c r="B27" s="253"/>
      <c r="C27" s="253"/>
      <c r="D27" s="86"/>
      <c r="E27" s="85" t="s">
        <v>161</v>
      </c>
      <c r="F27" s="253"/>
      <c r="G27" s="253"/>
    </row>
    <row r="28" spans="1:7" ht="25.2" customHeight="1">
      <c r="A28" s="264" t="s">
        <v>181</v>
      </c>
      <c r="B28" s="265"/>
      <c r="C28" s="265"/>
      <c r="D28" s="265"/>
      <c r="E28" s="265"/>
      <c r="F28" s="265"/>
      <c r="G28" s="265"/>
    </row>
    <row r="29" spans="1:7" ht="51" customHeight="1">
      <c r="A29" s="266" t="s">
        <v>182</v>
      </c>
      <c r="B29" s="267"/>
      <c r="C29" s="267"/>
      <c r="D29" s="267"/>
      <c r="E29" s="267"/>
      <c r="F29" s="267"/>
      <c r="G29" s="267"/>
    </row>
    <row r="30" spans="1:7" ht="34.200000000000003" customHeight="1">
      <c r="A30" s="259" t="s">
        <v>183</v>
      </c>
      <c r="B30" s="259"/>
      <c r="C30" s="259"/>
      <c r="D30" s="259"/>
      <c r="E30" s="259"/>
      <c r="F30" s="259"/>
      <c r="G30" s="259"/>
    </row>
    <row r="31" spans="1:7" s="87" customFormat="1" ht="34.200000000000003" customHeight="1">
      <c r="A31" s="259" t="s">
        <v>185</v>
      </c>
      <c r="B31" s="259"/>
      <c r="C31" s="259"/>
      <c r="D31" s="259"/>
      <c r="E31" s="259"/>
      <c r="F31" s="259"/>
      <c r="G31" s="259"/>
    </row>
    <row r="32" spans="1:7" s="87" customFormat="1" ht="34.200000000000003" customHeight="1">
      <c r="A32" s="259" t="s">
        <v>186</v>
      </c>
      <c r="B32" s="259"/>
      <c r="C32" s="259"/>
      <c r="D32" s="259"/>
      <c r="E32" s="259"/>
      <c r="F32" s="259"/>
      <c r="G32" s="259"/>
    </row>
    <row r="33" spans="1:7" s="87" customFormat="1" ht="34.200000000000003" customHeight="1">
      <c r="A33" s="259" t="s">
        <v>187</v>
      </c>
      <c r="B33" s="259"/>
      <c r="C33" s="259"/>
      <c r="D33" s="259"/>
      <c r="E33" s="259"/>
      <c r="F33" s="259"/>
      <c r="G33" s="259"/>
    </row>
    <row r="34" spans="1:7" s="87" customFormat="1" ht="34.200000000000003" customHeight="1">
      <c r="A34" s="259" t="s">
        <v>188</v>
      </c>
      <c r="B34" s="259"/>
      <c r="C34" s="259"/>
      <c r="D34" s="259"/>
      <c r="E34" s="259"/>
      <c r="F34" s="259"/>
      <c r="G34" s="259"/>
    </row>
    <row r="35" spans="1:7" s="87" customFormat="1" ht="34.200000000000003" customHeight="1">
      <c r="A35" s="259" t="s">
        <v>189</v>
      </c>
      <c r="B35" s="259"/>
      <c r="C35" s="259"/>
      <c r="D35" s="259"/>
      <c r="E35" s="259"/>
      <c r="F35" s="259"/>
      <c r="G35" s="259"/>
    </row>
    <row r="36" spans="1:7" s="87" customFormat="1" ht="34.200000000000003" customHeight="1">
      <c r="A36" s="259" t="s">
        <v>184</v>
      </c>
      <c r="B36" s="259"/>
      <c r="C36" s="259"/>
      <c r="D36" s="259"/>
      <c r="E36" s="259"/>
      <c r="F36" s="259"/>
      <c r="G36" s="259"/>
    </row>
    <row r="37" spans="1:7" s="87" customFormat="1" ht="34.200000000000003" customHeight="1">
      <c r="A37" s="259" t="s">
        <v>200</v>
      </c>
      <c r="B37" s="259"/>
      <c r="C37" s="259"/>
      <c r="D37" s="259"/>
      <c r="E37" s="259"/>
      <c r="F37" s="259"/>
      <c r="G37" s="259"/>
    </row>
    <row r="38" spans="1:7" s="87" customFormat="1" ht="78.599999999999994" customHeight="1">
      <c r="A38" s="259" t="s">
        <v>190</v>
      </c>
      <c r="B38" s="259"/>
      <c r="C38" s="259"/>
      <c r="D38" s="259"/>
      <c r="E38" s="259"/>
      <c r="F38" s="259"/>
      <c r="G38" s="259"/>
    </row>
    <row r="39" spans="1:7" s="87" customFormat="1" ht="34.200000000000003" customHeight="1">
      <c r="A39" s="259" t="s">
        <v>191</v>
      </c>
      <c r="B39" s="259"/>
      <c r="C39" s="259"/>
      <c r="D39" s="259"/>
      <c r="E39" s="259"/>
      <c r="F39" s="259"/>
      <c r="G39" s="259"/>
    </row>
    <row r="40" spans="1:7" s="87" customFormat="1" ht="54" customHeight="1">
      <c r="A40" s="259" t="s">
        <v>193</v>
      </c>
      <c r="B40" s="259"/>
      <c r="C40" s="259"/>
      <c r="D40" s="259"/>
      <c r="E40" s="259"/>
      <c r="F40" s="259"/>
      <c r="G40" s="259"/>
    </row>
    <row r="41" spans="1:7" s="87" customFormat="1" ht="34.200000000000003" customHeight="1">
      <c r="A41" s="259" t="s">
        <v>192</v>
      </c>
      <c r="B41" s="259"/>
      <c r="C41" s="259"/>
      <c r="D41" s="259"/>
      <c r="E41" s="259"/>
      <c r="F41" s="259"/>
      <c r="G41" s="259"/>
    </row>
    <row r="42" spans="1:7" s="87" customFormat="1" ht="34.200000000000003" customHeight="1">
      <c r="A42" s="259" t="s">
        <v>194</v>
      </c>
      <c r="B42" s="259"/>
      <c r="C42" s="259"/>
      <c r="D42" s="259"/>
      <c r="E42" s="259"/>
      <c r="F42" s="259"/>
      <c r="G42" s="259"/>
    </row>
    <row r="43" spans="1:7" s="87" customFormat="1" ht="52.2" customHeight="1">
      <c r="A43" s="259" t="s">
        <v>195</v>
      </c>
      <c r="B43" s="259"/>
      <c r="C43" s="259"/>
      <c r="D43" s="259"/>
      <c r="E43" s="259"/>
      <c r="F43" s="259"/>
      <c r="G43" s="259"/>
    </row>
    <row r="44" spans="1:7" s="87" customFormat="1" ht="48.6" customHeight="1">
      <c r="A44" s="259" t="s">
        <v>196</v>
      </c>
      <c r="B44" s="259"/>
      <c r="C44" s="259"/>
      <c r="D44" s="259"/>
      <c r="E44" s="259"/>
      <c r="F44" s="259"/>
      <c r="G44" s="259"/>
    </row>
    <row r="45" spans="1:7" s="87" customFormat="1" ht="34.200000000000003" customHeight="1">
      <c r="A45" s="259" t="s">
        <v>197</v>
      </c>
      <c r="B45" s="259"/>
      <c r="C45" s="259"/>
      <c r="D45" s="259"/>
      <c r="E45" s="259"/>
      <c r="F45" s="259"/>
      <c r="G45" s="259"/>
    </row>
    <row r="46" spans="1:7" s="87" customFormat="1" ht="34.200000000000003" customHeight="1">
      <c r="A46" s="259" t="s">
        <v>198</v>
      </c>
      <c r="B46" s="259"/>
      <c r="C46" s="259"/>
      <c r="D46" s="259"/>
      <c r="E46" s="259"/>
      <c r="F46" s="259"/>
      <c r="G46" s="259"/>
    </row>
    <row r="47" spans="1:7" s="87" customFormat="1" ht="64.95" customHeight="1">
      <c r="A47" s="259" t="s">
        <v>199</v>
      </c>
      <c r="B47" s="259"/>
      <c r="C47" s="259"/>
      <c r="D47" s="259"/>
      <c r="E47" s="259"/>
      <c r="F47" s="259"/>
      <c r="G47" s="259"/>
    </row>
    <row r="48" spans="1:7">
      <c r="A48" s="269"/>
      <c r="B48" s="269"/>
      <c r="C48" s="269"/>
      <c r="D48" s="269"/>
      <c r="E48" s="269"/>
      <c r="F48" s="269"/>
      <c r="G48" s="269"/>
    </row>
    <row r="49" spans="1:7">
      <c r="A49" s="269"/>
      <c r="B49" s="269"/>
      <c r="C49" s="269"/>
      <c r="D49" s="269"/>
      <c r="E49" s="269"/>
      <c r="F49" s="269"/>
      <c r="G49" s="269"/>
    </row>
    <row r="50" spans="1:7">
      <c r="A50" s="269"/>
      <c r="B50" s="269"/>
      <c r="C50" s="269"/>
      <c r="D50" s="269"/>
      <c r="E50" s="269"/>
      <c r="F50" s="269"/>
      <c r="G50" s="269"/>
    </row>
    <row r="51" spans="1:7">
      <c r="A51" s="269"/>
      <c r="B51" s="269"/>
      <c r="C51" s="269"/>
      <c r="D51" s="269"/>
      <c r="E51" s="269"/>
      <c r="F51" s="269"/>
      <c r="G51" s="269"/>
    </row>
    <row r="53" spans="1:7">
      <c r="A53" s="269"/>
      <c r="B53" s="269"/>
      <c r="C53" s="269"/>
      <c r="D53" s="269"/>
      <c r="E53" s="269"/>
      <c r="F53" s="269"/>
      <c r="G53" s="269"/>
    </row>
    <row r="54" spans="1:7">
      <c r="A54" s="269"/>
      <c r="B54" s="269"/>
      <c r="C54" s="269"/>
      <c r="D54" s="269"/>
      <c r="E54" s="269"/>
      <c r="F54" s="269"/>
      <c r="G54" s="269"/>
    </row>
    <row r="55" spans="1:7">
      <c r="A55" s="269"/>
      <c r="B55" s="269"/>
      <c r="C55" s="269"/>
      <c r="D55" s="269"/>
      <c r="E55" s="269"/>
      <c r="F55" s="269"/>
      <c r="G55" s="269"/>
    </row>
    <row r="56" spans="1:7">
      <c r="A56" s="269"/>
      <c r="B56" s="269"/>
      <c r="C56" s="269"/>
      <c r="D56" s="269"/>
      <c r="E56" s="269"/>
      <c r="F56" s="269"/>
      <c r="G56" s="269"/>
    </row>
    <row r="57" spans="1:7">
      <c r="A57" s="269"/>
      <c r="B57" s="269"/>
      <c r="C57" s="269"/>
      <c r="D57" s="269"/>
      <c r="E57" s="269"/>
      <c r="F57" s="269"/>
      <c r="G57" s="269"/>
    </row>
    <row r="58" spans="1:7">
      <c r="A58" s="269"/>
      <c r="B58" s="269"/>
      <c r="C58" s="269"/>
      <c r="D58" s="269"/>
      <c r="E58" s="269"/>
      <c r="F58" s="269"/>
      <c r="G58" s="269"/>
    </row>
    <row r="59" spans="1:7">
      <c r="A59" s="269"/>
      <c r="B59" s="269"/>
      <c r="C59" s="269"/>
      <c r="D59" s="269"/>
      <c r="E59" s="269"/>
      <c r="F59" s="269"/>
      <c r="G59" s="269"/>
    </row>
    <row r="60" spans="1:7">
      <c r="A60" s="269"/>
      <c r="B60" s="269"/>
      <c r="C60" s="269"/>
      <c r="D60" s="269"/>
      <c r="E60" s="269"/>
      <c r="F60" s="269"/>
      <c r="G60" s="269"/>
    </row>
    <row r="61" spans="1:7">
      <c r="A61" s="269"/>
      <c r="B61" s="269"/>
      <c r="C61" s="269"/>
      <c r="D61" s="269"/>
      <c r="E61" s="269"/>
      <c r="F61" s="269"/>
      <c r="G61" s="269"/>
    </row>
    <row r="62" spans="1:7">
      <c r="A62" s="269"/>
      <c r="B62" s="269"/>
      <c r="C62" s="269"/>
      <c r="D62" s="269"/>
      <c r="E62" s="269"/>
      <c r="F62" s="269"/>
      <c r="G62" s="269"/>
    </row>
    <row r="63" spans="1:7">
      <c r="A63" s="263"/>
      <c r="B63" s="263"/>
      <c r="C63" s="263"/>
      <c r="D63" s="263"/>
      <c r="E63" s="263"/>
      <c r="F63" s="263"/>
      <c r="G63" s="263"/>
    </row>
    <row r="64" spans="1:7">
      <c r="A64" s="263"/>
      <c r="B64" s="263"/>
      <c r="C64" s="263"/>
      <c r="D64" s="263"/>
      <c r="E64" s="263"/>
      <c r="F64" s="263"/>
      <c r="G64" s="263"/>
    </row>
    <row r="65" spans="1:7">
      <c r="A65" s="263"/>
      <c r="B65" s="263"/>
      <c r="C65" s="263"/>
      <c r="D65" s="263"/>
      <c r="E65" s="263"/>
      <c r="F65" s="263"/>
      <c r="G65" s="263"/>
    </row>
    <row r="66" spans="1:7">
      <c r="A66" s="263"/>
      <c r="B66" s="263"/>
      <c r="C66" s="263"/>
      <c r="D66" s="263"/>
      <c r="E66" s="263"/>
      <c r="F66" s="263"/>
      <c r="G66" s="263"/>
    </row>
    <row r="67" spans="1:7">
      <c r="A67" s="263"/>
      <c r="B67" s="263"/>
      <c r="C67" s="263"/>
      <c r="D67" s="263"/>
      <c r="E67" s="263"/>
      <c r="F67" s="263"/>
      <c r="G67" s="263"/>
    </row>
    <row r="68" spans="1:7">
      <c r="A68" s="263"/>
      <c r="B68" s="263"/>
      <c r="C68" s="263"/>
      <c r="D68" s="263"/>
      <c r="E68" s="263"/>
      <c r="F68" s="263"/>
      <c r="G68" s="263"/>
    </row>
    <row r="69" spans="1:7">
      <c r="A69" s="263"/>
      <c r="B69" s="263"/>
      <c r="C69" s="263"/>
      <c r="D69" s="263"/>
      <c r="E69" s="263"/>
      <c r="F69" s="263"/>
      <c r="G69" s="263"/>
    </row>
    <row r="70" spans="1:7">
      <c r="A70" s="263"/>
      <c r="B70" s="263"/>
      <c r="C70" s="263"/>
      <c r="D70" s="263"/>
      <c r="E70" s="263"/>
      <c r="F70" s="263"/>
      <c r="G70" s="263"/>
    </row>
    <row r="71" spans="1:7">
      <c r="A71" s="263"/>
      <c r="B71" s="263"/>
      <c r="C71" s="263"/>
      <c r="D71" s="263"/>
      <c r="E71" s="263"/>
      <c r="F71" s="263"/>
      <c r="G71" s="263"/>
    </row>
    <row r="72" spans="1:7">
      <c r="A72" s="263"/>
      <c r="B72" s="263"/>
      <c r="C72" s="263"/>
      <c r="D72" s="263"/>
      <c r="E72" s="263"/>
      <c r="F72" s="263"/>
      <c r="G72" s="263"/>
    </row>
    <row r="73" spans="1:7">
      <c r="A73" s="263"/>
      <c r="B73" s="263"/>
      <c r="C73" s="263"/>
      <c r="D73" s="263"/>
      <c r="E73" s="263"/>
      <c r="F73" s="263"/>
      <c r="G73" s="263"/>
    </row>
    <row r="74" spans="1:7">
      <c r="A74" s="263"/>
      <c r="B74" s="263"/>
      <c r="C74" s="263"/>
      <c r="D74" s="263"/>
      <c r="E74" s="263"/>
      <c r="F74" s="263"/>
      <c r="G74" s="263"/>
    </row>
    <row r="75" spans="1:7">
      <c r="A75" s="263"/>
      <c r="B75" s="263"/>
      <c r="C75" s="263"/>
      <c r="D75" s="263"/>
      <c r="E75" s="263"/>
      <c r="F75" s="263"/>
      <c r="G75" s="263"/>
    </row>
    <row r="76" spans="1:7">
      <c r="A76" s="263"/>
      <c r="B76" s="263"/>
      <c r="C76" s="263"/>
      <c r="D76" s="263"/>
      <c r="E76" s="263"/>
      <c r="F76" s="263"/>
      <c r="G76" s="263"/>
    </row>
    <row r="77" spans="1:7">
      <c r="A77" s="263"/>
      <c r="B77" s="263"/>
      <c r="C77" s="263"/>
      <c r="D77" s="263"/>
      <c r="E77" s="263"/>
      <c r="F77" s="263"/>
      <c r="G77" s="263"/>
    </row>
    <row r="78" spans="1:7">
      <c r="A78" s="263"/>
      <c r="B78" s="263"/>
      <c r="C78" s="263"/>
      <c r="D78" s="263"/>
      <c r="E78" s="263"/>
      <c r="F78" s="263"/>
      <c r="G78" s="263"/>
    </row>
    <row r="79" spans="1:7">
      <c r="A79" s="263"/>
      <c r="B79" s="263"/>
      <c r="C79" s="263"/>
      <c r="D79" s="263"/>
      <c r="E79" s="263"/>
      <c r="F79" s="263"/>
      <c r="G79" s="263"/>
    </row>
    <row r="80" spans="1:7">
      <c r="A80" s="263"/>
      <c r="B80" s="263"/>
      <c r="C80" s="263"/>
      <c r="D80" s="263"/>
      <c r="E80" s="263"/>
      <c r="F80" s="263"/>
      <c r="G80" s="263"/>
    </row>
    <row r="81" spans="1:7">
      <c r="A81" s="263"/>
      <c r="B81" s="263"/>
      <c r="C81" s="263"/>
      <c r="D81" s="263"/>
      <c r="E81" s="263"/>
      <c r="F81" s="263"/>
      <c r="G81" s="263"/>
    </row>
    <row r="82" spans="1:7">
      <c r="A82" s="263"/>
      <c r="B82" s="263"/>
      <c r="C82" s="263"/>
      <c r="D82" s="263"/>
      <c r="E82" s="263"/>
      <c r="F82" s="263"/>
      <c r="G82" s="263"/>
    </row>
    <row r="83" spans="1:7">
      <c r="A83" s="263"/>
      <c r="B83" s="263"/>
      <c r="C83" s="263"/>
      <c r="D83" s="263"/>
      <c r="E83" s="263"/>
      <c r="F83" s="263"/>
      <c r="G83" s="263"/>
    </row>
    <row r="84" spans="1:7">
      <c r="A84" s="263"/>
      <c r="B84" s="263"/>
      <c r="C84" s="263"/>
      <c r="D84" s="263"/>
      <c r="E84" s="263"/>
      <c r="F84" s="263"/>
      <c r="G84" s="263"/>
    </row>
    <row r="85" spans="1:7">
      <c r="A85" s="263"/>
      <c r="B85" s="263"/>
      <c r="C85" s="263"/>
      <c r="D85" s="263"/>
      <c r="E85" s="263"/>
      <c r="F85" s="263"/>
      <c r="G85" s="263"/>
    </row>
    <row r="86" spans="1:7">
      <c r="A86" s="263"/>
      <c r="B86" s="263"/>
      <c r="C86" s="263"/>
      <c r="D86" s="263"/>
      <c r="E86" s="263"/>
      <c r="F86" s="263"/>
      <c r="G86" s="263"/>
    </row>
    <row r="87" spans="1:7">
      <c r="A87" s="263"/>
      <c r="B87" s="263"/>
      <c r="C87" s="263"/>
      <c r="D87" s="263"/>
      <c r="E87" s="263"/>
      <c r="F87" s="263"/>
      <c r="G87" s="263"/>
    </row>
    <row r="88" spans="1:7">
      <c r="A88" s="263"/>
      <c r="B88" s="263"/>
      <c r="C88" s="263"/>
      <c r="D88" s="263"/>
      <c r="E88" s="263"/>
      <c r="F88" s="263"/>
      <c r="G88" s="263"/>
    </row>
    <row r="89" spans="1:7">
      <c r="A89" s="263"/>
      <c r="B89" s="263"/>
      <c r="C89" s="263"/>
      <c r="D89" s="263"/>
      <c r="E89" s="263"/>
      <c r="F89" s="263"/>
      <c r="G89" s="263"/>
    </row>
  </sheetData>
  <mergeCells count="100">
    <mergeCell ref="A87:G87"/>
    <mergeCell ref="A88:G88"/>
    <mergeCell ref="A89:G89"/>
    <mergeCell ref="A81:G81"/>
    <mergeCell ref="A82:G82"/>
    <mergeCell ref="A83:G83"/>
    <mergeCell ref="A84:G84"/>
    <mergeCell ref="A85:G85"/>
    <mergeCell ref="A86:G86"/>
    <mergeCell ref="A80:G80"/>
    <mergeCell ref="A69:G69"/>
    <mergeCell ref="A70:G70"/>
    <mergeCell ref="A71:G71"/>
    <mergeCell ref="A72:G72"/>
    <mergeCell ref="A73:G73"/>
    <mergeCell ref="A74:G74"/>
    <mergeCell ref="A75:G75"/>
    <mergeCell ref="A76:G76"/>
    <mergeCell ref="A77:G77"/>
    <mergeCell ref="A78:G78"/>
    <mergeCell ref="A79:G79"/>
    <mergeCell ref="A68:G68"/>
    <mergeCell ref="A57:G57"/>
    <mergeCell ref="A58:G58"/>
    <mergeCell ref="A59:G59"/>
    <mergeCell ref="A60:G60"/>
    <mergeCell ref="A61:G61"/>
    <mergeCell ref="A62:G62"/>
    <mergeCell ref="A63:G63"/>
    <mergeCell ref="A64:G64"/>
    <mergeCell ref="A65:G65"/>
    <mergeCell ref="A66:G66"/>
    <mergeCell ref="A67:G67"/>
    <mergeCell ref="A51:G51"/>
    <mergeCell ref="A53:G53"/>
    <mergeCell ref="A54:G54"/>
    <mergeCell ref="A55:G55"/>
    <mergeCell ref="A56:G56"/>
    <mergeCell ref="A50:G50"/>
    <mergeCell ref="A39:G39"/>
    <mergeCell ref="A40:G40"/>
    <mergeCell ref="A41:G41"/>
    <mergeCell ref="A42:G42"/>
    <mergeCell ref="A43:G43"/>
    <mergeCell ref="A44:G44"/>
    <mergeCell ref="A45:G45"/>
    <mergeCell ref="A46:G46"/>
    <mergeCell ref="A47:G47"/>
    <mergeCell ref="A48:G48"/>
    <mergeCell ref="A49:G49"/>
    <mergeCell ref="A33:G33"/>
    <mergeCell ref="A34:G34"/>
    <mergeCell ref="A35:G35"/>
    <mergeCell ref="A36:G36"/>
    <mergeCell ref="A37:G37"/>
    <mergeCell ref="A38:G38"/>
    <mergeCell ref="A9:G9"/>
    <mergeCell ref="A8:G8"/>
    <mergeCell ref="A1:G1"/>
    <mergeCell ref="A2:G2"/>
    <mergeCell ref="A28:G28"/>
    <mergeCell ref="A29:G29"/>
    <mergeCell ref="A30:G30"/>
    <mergeCell ref="A31:G31"/>
    <mergeCell ref="A32:G32"/>
    <mergeCell ref="B18:C18"/>
    <mergeCell ref="B19:C19"/>
    <mergeCell ref="B20:C20"/>
    <mergeCell ref="A11:G11"/>
    <mergeCell ref="A10:G10"/>
    <mergeCell ref="A3:G3"/>
    <mergeCell ref="A4:G4"/>
    <mergeCell ref="A5:G5"/>
    <mergeCell ref="A6:G6"/>
    <mergeCell ref="A7:G7"/>
    <mergeCell ref="F27:G27"/>
    <mergeCell ref="B26:C26"/>
    <mergeCell ref="B27:C27"/>
    <mergeCell ref="B21:C21"/>
    <mergeCell ref="B12:C12"/>
    <mergeCell ref="B13:C13"/>
    <mergeCell ref="B14:C14"/>
    <mergeCell ref="B15:C15"/>
    <mergeCell ref="B16:C16"/>
    <mergeCell ref="B17:C17"/>
    <mergeCell ref="F18:G20"/>
    <mergeCell ref="E22:G22"/>
    <mergeCell ref="E23:G23"/>
    <mergeCell ref="E25:G25"/>
    <mergeCell ref="E24:G24"/>
    <mergeCell ref="F26:G26"/>
    <mergeCell ref="A22:C22"/>
    <mergeCell ref="A23:C23"/>
    <mergeCell ref="A24:C24"/>
    <mergeCell ref="A25:C25"/>
    <mergeCell ref="F12:G12"/>
    <mergeCell ref="F13:G13"/>
    <mergeCell ref="F14:G14"/>
    <mergeCell ref="E15:E20"/>
    <mergeCell ref="F21:G21"/>
  </mergeCells>
  <phoneticPr fontId="2" type="noConversion"/>
  <printOptions horizontalCentered="1"/>
  <pageMargins left="0.31496062992125984" right="0.31496062992125984" top="0.39370078740157483" bottom="0.39370078740157483" header="0.31496062992125984" footer="0.31496062992125984"/>
  <pageSetup paperSize="9" orientation="portrait" r:id="rId1"/>
  <rowBreaks count="1" manualBreakCount="1">
    <brk id="51"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3:H53"/>
  <sheetViews>
    <sheetView zoomScaleSheetLayoutView="100" workbookViewId="0">
      <selection activeCell="E27" sqref="E27"/>
    </sheetView>
  </sheetViews>
  <sheetFormatPr defaultColWidth="10" defaultRowHeight="15.6"/>
  <cols>
    <col min="1" max="1" width="10" style="35" customWidth="1"/>
    <col min="2" max="2" width="10.77734375" style="35" customWidth="1"/>
    <col min="3" max="3" width="14.109375" style="35" customWidth="1"/>
    <col min="4" max="4" width="8.77734375" style="35" customWidth="1"/>
    <col min="5" max="5" width="10.21875" style="35" customWidth="1"/>
    <col min="6" max="6" width="14.33203125" style="35" customWidth="1"/>
    <col min="7" max="7" width="12.33203125" style="35" customWidth="1"/>
    <col min="8" max="8" width="21.44140625" style="35" customWidth="1"/>
    <col min="9" max="16384" width="10" style="37"/>
  </cols>
  <sheetData>
    <row r="3" spans="1:8" ht="22.2">
      <c r="C3" s="36" t="s">
        <v>83</v>
      </c>
      <c r="D3" s="36"/>
      <c r="E3" s="36"/>
      <c r="F3" s="36"/>
    </row>
    <row r="5" spans="1:8">
      <c r="A5" s="38" t="s">
        <v>84</v>
      </c>
      <c r="B5" s="39"/>
      <c r="C5" s="39"/>
      <c r="D5" s="39"/>
      <c r="E5" s="39"/>
      <c r="F5" s="270" t="s">
        <v>85</v>
      </c>
      <c r="G5" s="271"/>
      <c r="H5" s="272"/>
    </row>
    <row r="6" spans="1:8">
      <c r="A6" s="40" t="s">
        <v>83</v>
      </c>
      <c r="B6" s="41"/>
      <c r="C6" s="41"/>
      <c r="D6" s="41"/>
      <c r="E6" s="41"/>
      <c r="F6" s="273"/>
      <c r="G6" s="274"/>
      <c r="H6" s="275"/>
    </row>
    <row r="7" spans="1:8">
      <c r="A7" s="40" t="str">
        <f>源数据!B14</f>
        <v>guxiaojuan</v>
      </c>
      <c r="B7" s="41"/>
      <c r="C7" s="41"/>
      <c r="D7" s="41"/>
      <c r="E7" s="41"/>
      <c r="F7" s="273"/>
      <c r="G7" s="274"/>
      <c r="H7" s="275"/>
    </row>
    <row r="8" spans="1:8">
      <c r="A8" s="40" t="s">
        <v>86</v>
      </c>
      <c r="B8" s="41"/>
      <c r="C8" s="41"/>
      <c r="D8" s="41"/>
      <c r="E8" s="41"/>
      <c r="F8" s="273"/>
      <c r="G8" s="274"/>
      <c r="H8" s="275"/>
    </row>
    <row r="9" spans="1:8">
      <c r="A9" s="40" t="s">
        <v>87</v>
      </c>
      <c r="B9" s="41"/>
      <c r="C9" s="41"/>
      <c r="D9" s="41"/>
      <c r="E9" s="41"/>
      <c r="F9" s="273"/>
      <c r="G9" s="274"/>
      <c r="H9" s="275"/>
    </row>
    <row r="10" spans="1:8">
      <c r="A10" s="40" t="s">
        <v>88</v>
      </c>
      <c r="B10" s="41"/>
      <c r="C10" s="41">
        <v>215635</v>
      </c>
      <c r="D10" s="41"/>
      <c r="E10" s="41"/>
      <c r="F10" s="273"/>
      <c r="G10" s="274"/>
      <c r="H10" s="275"/>
    </row>
    <row r="11" spans="1:8">
      <c r="A11" s="40" t="s">
        <v>89</v>
      </c>
      <c r="B11" s="41"/>
      <c r="C11" s="41"/>
      <c r="D11" s="41"/>
      <c r="E11" s="41"/>
      <c r="F11" s="273"/>
      <c r="G11" s="274"/>
      <c r="H11" s="275"/>
    </row>
    <row r="12" spans="1:8">
      <c r="A12" s="42" t="s">
        <v>90</v>
      </c>
      <c r="B12" s="43"/>
      <c r="C12" s="43"/>
      <c r="D12" s="43" t="s">
        <v>91</v>
      </c>
      <c r="E12" s="43"/>
      <c r="F12" s="276"/>
      <c r="G12" s="277"/>
      <c r="H12" s="278"/>
    </row>
    <row r="13" spans="1:8">
      <c r="A13" s="40" t="s">
        <v>92</v>
      </c>
      <c r="B13" s="41"/>
      <c r="C13" s="41"/>
      <c r="D13" s="41"/>
      <c r="E13" s="41"/>
      <c r="F13" s="44" t="s">
        <v>93</v>
      </c>
      <c r="G13" s="45"/>
      <c r="H13" s="46" t="str">
        <f ca="1">TEXT(源数据!B1,"yyyy-m-dd")</f>
        <v>2024-8-12</v>
      </c>
    </row>
    <row r="14" spans="1:8">
      <c r="A14" s="47" t="s">
        <v>94</v>
      </c>
      <c r="B14" s="48"/>
      <c r="C14" s="48"/>
      <c r="D14" s="48"/>
      <c r="E14" s="48"/>
      <c r="F14" s="49"/>
      <c r="G14" s="50"/>
      <c r="H14" s="51"/>
    </row>
    <row r="15" spans="1:8">
      <c r="A15" s="52" t="s">
        <v>95</v>
      </c>
      <c r="B15" s="53"/>
      <c r="C15" s="54"/>
      <c r="D15" s="53"/>
      <c r="E15" s="53"/>
      <c r="F15" s="55" t="s">
        <v>96</v>
      </c>
      <c r="G15" s="56"/>
      <c r="H15" s="57"/>
    </row>
    <row r="16" spans="1:8">
      <c r="A16" s="52"/>
      <c r="B16" s="53"/>
      <c r="C16" s="53"/>
      <c r="D16" s="53"/>
      <c r="E16" s="53"/>
      <c r="F16" s="49"/>
      <c r="G16" s="50"/>
      <c r="H16" s="51"/>
    </row>
    <row r="17" spans="1:8">
      <c r="A17" s="58" t="s">
        <v>97</v>
      </c>
      <c r="B17" s="59"/>
      <c r="C17" s="59"/>
      <c r="D17" s="59"/>
      <c r="E17" s="59"/>
      <c r="F17" s="55" t="s">
        <v>98</v>
      </c>
      <c r="G17" s="56"/>
      <c r="H17" s="57"/>
    </row>
    <row r="18" spans="1:8">
      <c r="A18" s="58" t="s">
        <v>99</v>
      </c>
      <c r="B18" s="59"/>
      <c r="C18" s="59"/>
      <c r="D18" s="59"/>
      <c r="E18" s="59"/>
      <c r="F18" s="49"/>
      <c r="G18" s="50"/>
      <c r="H18" s="51"/>
    </row>
    <row r="19" spans="1:8">
      <c r="A19" s="58"/>
      <c r="B19" s="59"/>
      <c r="C19" s="59"/>
      <c r="D19" s="59"/>
      <c r="E19" s="59"/>
      <c r="F19" s="55" t="s">
        <v>100</v>
      </c>
      <c r="G19" s="56"/>
      <c r="H19" s="57"/>
    </row>
    <row r="20" spans="1:8">
      <c r="A20" s="58" t="s">
        <v>101</v>
      </c>
      <c r="B20" s="59"/>
      <c r="C20" s="59"/>
      <c r="D20" s="59"/>
      <c r="E20" s="59"/>
      <c r="F20" s="49"/>
      <c r="G20" s="50"/>
      <c r="H20" s="51"/>
    </row>
    <row r="21" spans="1:8">
      <c r="A21" s="58"/>
      <c r="B21" s="59"/>
      <c r="C21" s="59"/>
      <c r="D21" s="59"/>
      <c r="E21" s="59"/>
      <c r="F21" s="44" t="s">
        <v>102</v>
      </c>
      <c r="G21" s="60"/>
      <c r="H21" s="61" t="str">
        <f>源数据!B5</f>
        <v>DHL9072950143</v>
      </c>
    </row>
    <row r="22" spans="1:8">
      <c r="A22" s="58" t="s">
        <v>103</v>
      </c>
      <c r="B22" s="59"/>
      <c r="C22" s="59" t="s">
        <v>104</v>
      </c>
      <c r="E22" s="59"/>
      <c r="F22" s="44"/>
      <c r="G22" s="60"/>
      <c r="H22" s="62"/>
    </row>
    <row r="23" spans="1:8">
      <c r="A23" s="63"/>
      <c r="B23" s="64"/>
      <c r="C23" s="64"/>
      <c r="D23" s="64"/>
      <c r="E23" s="64"/>
      <c r="F23" s="55"/>
      <c r="G23" s="56"/>
      <c r="H23" s="57"/>
    </row>
    <row r="24" spans="1:8">
      <c r="A24" s="44"/>
      <c r="B24" s="60"/>
      <c r="C24" s="60"/>
      <c r="D24" s="60"/>
      <c r="E24" s="60"/>
      <c r="F24" s="44"/>
      <c r="G24" s="60"/>
      <c r="H24" s="62"/>
    </row>
    <row r="25" spans="1:8">
      <c r="A25" s="44"/>
      <c r="B25" s="60"/>
      <c r="C25" s="60"/>
      <c r="D25" s="60"/>
      <c r="E25" s="60"/>
      <c r="F25" s="44"/>
      <c r="G25" s="60"/>
      <c r="H25" s="62"/>
    </row>
    <row r="26" spans="1:8">
      <c r="A26" s="44"/>
      <c r="B26" s="60"/>
      <c r="C26" s="60"/>
      <c r="D26" s="60"/>
      <c r="E26" s="60"/>
      <c r="F26" s="44"/>
      <c r="G26" s="60"/>
      <c r="H26" s="62"/>
    </row>
    <row r="27" spans="1:8">
      <c r="A27" s="44"/>
      <c r="B27" s="60"/>
      <c r="C27" s="60"/>
      <c r="D27" s="60"/>
      <c r="E27" s="60"/>
      <c r="F27" s="44"/>
      <c r="G27" s="60"/>
      <c r="H27" s="62"/>
    </row>
    <row r="28" spans="1:8">
      <c r="A28" s="44"/>
      <c r="B28" s="50"/>
      <c r="C28" s="50"/>
      <c r="D28" s="50"/>
      <c r="E28" s="50"/>
      <c r="F28" s="49"/>
      <c r="G28" s="50"/>
      <c r="H28" s="51"/>
    </row>
    <row r="29" spans="1:8">
      <c r="A29" s="65" t="s">
        <v>105</v>
      </c>
      <c r="B29" s="66"/>
      <c r="C29" s="67"/>
      <c r="D29" s="68" t="s">
        <v>106</v>
      </c>
      <c r="E29" s="69" t="s">
        <v>107</v>
      </c>
      <c r="F29" s="69" t="s">
        <v>108</v>
      </c>
      <c r="G29" s="69" t="s">
        <v>109</v>
      </c>
      <c r="H29" s="69" t="s">
        <v>110</v>
      </c>
    </row>
    <row r="30" spans="1:8">
      <c r="A30" s="279" t="s">
        <v>111</v>
      </c>
      <c r="B30" s="280"/>
      <c r="C30" s="281"/>
      <c r="D30" s="70" t="str">
        <f>源数据!B9&amp;"kg"</f>
        <v>0.8kg</v>
      </c>
      <c r="E30" s="69"/>
      <c r="F30" s="71">
        <f>源数据!B9</f>
        <v>0.8</v>
      </c>
      <c r="G30" s="71">
        <f>源数据!B10</f>
        <v>0.8</v>
      </c>
      <c r="H30" s="68" t="s">
        <v>112</v>
      </c>
    </row>
    <row r="31" spans="1:8">
      <c r="A31" s="44"/>
      <c r="B31" s="72"/>
      <c r="C31" s="62"/>
      <c r="D31" s="61"/>
      <c r="E31" s="73"/>
      <c r="F31" s="74"/>
      <c r="G31" s="74"/>
      <c r="H31" s="75"/>
    </row>
    <row r="32" spans="1:8">
      <c r="A32" s="44"/>
      <c r="B32" s="72"/>
      <c r="C32" s="62"/>
      <c r="D32" s="61"/>
      <c r="E32" s="73"/>
      <c r="F32" s="74"/>
      <c r="G32" s="74"/>
      <c r="H32" s="75"/>
    </row>
    <row r="33" spans="1:8">
      <c r="A33" s="282"/>
      <c r="B33" s="283"/>
      <c r="C33" s="284"/>
      <c r="D33" s="73"/>
      <c r="E33" s="73"/>
      <c r="F33" s="76"/>
      <c r="G33" s="76"/>
      <c r="H33" s="73"/>
    </row>
    <row r="34" spans="1:8">
      <c r="A34" s="282"/>
      <c r="B34" s="283"/>
      <c r="C34" s="284"/>
      <c r="D34" s="73"/>
      <c r="E34" s="73"/>
      <c r="F34" s="76"/>
      <c r="G34" s="76"/>
      <c r="H34" s="73"/>
    </row>
    <row r="35" spans="1:8">
      <c r="A35" s="44"/>
      <c r="B35" s="60"/>
      <c r="C35" s="62"/>
      <c r="D35" s="73"/>
      <c r="E35" s="73"/>
      <c r="F35" s="77"/>
      <c r="G35" s="76"/>
      <c r="H35" s="73"/>
    </row>
    <row r="36" spans="1:8">
      <c r="A36" s="49"/>
      <c r="B36" s="50"/>
      <c r="C36" s="51"/>
      <c r="D36" s="78"/>
      <c r="E36" s="78"/>
      <c r="F36" s="79"/>
      <c r="G36" s="79"/>
      <c r="H36" s="78"/>
    </row>
    <row r="37" spans="1:8">
      <c r="D37" s="65" t="s">
        <v>113</v>
      </c>
      <c r="E37" s="66"/>
      <c r="F37" s="71">
        <f>F30</f>
        <v>0.8</v>
      </c>
      <c r="G37" s="71">
        <f>G30</f>
        <v>0.8</v>
      </c>
      <c r="H37" s="67"/>
    </row>
    <row r="38" spans="1:8">
      <c r="A38" s="35" t="s">
        <v>114</v>
      </c>
      <c r="D38" s="65" t="str">
        <f>"Total pieces:"&amp;源数据!B8</f>
        <v>Total pieces:1</v>
      </c>
      <c r="E38" s="66"/>
      <c r="F38" s="50"/>
      <c r="G38" s="66"/>
      <c r="H38" s="67"/>
    </row>
    <row r="39" spans="1:8">
      <c r="A39" s="35" t="s">
        <v>115</v>
      </c>
    </row>
    <row r="40" spans="1:8">
      <c r="A40" s="35" t="s">
        <v>116</v>
      </c>
      <c r="D40" s="35" t="s">
        <v>117</v>
      </c>
    </row>
    <row r="41" spans="1:8">
      <c r="A41" s="35" t="s">
        <v>118</v>
      </c>
    </row>
    <row r="42" spans="1:8">
      <c r="A42" s="35" t="s">
        <v>119</v>
      </c>
    </row>
    <row r="43" spans="1:8" ht="12" customHeight="1"/>
    <row r="44" spans="1:8" ht="9" hidden="1" customHeight="1"/>
    <row r="45" spans="1:8" hidden="1"/>
    <row r="46" spans="1:8" hidden="1"/>
    <row r="47" spans="1:8">
      <c r="A47" s="285" t="s">
        <v>120</v>
      </c>
      <c r="B47" s="285"/>
      <c r="C47" s="285"/>
      <c r="D47" s="285"/>
      <c r="E47" s="285"/>
      <c r="F47" s="285"/>
      <c r="G47" s="285"/>
      <c r="H47" s="285"/>
    </row>
    <row r="48" spans="1:8" ht="6" customHeight="1">
      <c r="A48" s="80"/>
    </row>
    <row r="49" spans="1:4" ht="6" hidden="1" customHeight="1"/>
    <row r="50" spans="1:4" hidden="1"/>
    <row r="51" spans="1:4" hidden="1">
      <c r="A51" s="35" t="s">
        <v>121</v>
      </c>
      <c r="B51" s="50"/>
    </row>
    <row r="52" spans="1:4">
      <c r="A52" s="35" t="s">
        <v>122</v>
      </c>
    </row>
    <row r="53" spans="1:4">
      <c r="A53" s="35" t="s">
        <v>123</v>
      </c>
      <c r="C53" s="50"/>
      <c r="D53" s="35" t="s">
        <v>124</v>
      </c>
    </row>
  </sheetData>
  <mergeCells count="5">
    <mergeCell ref="F5:H12"/>
    <mergeCell ref="A30:C30"/>
    <mergeCell ref="A33:C33"/>
    <mergeCell ref="A34:C34"/>
    <mergeCell ref="A47:H47"/>
  </mergeCells>
  <phoneticPr fontId="2" type="noConversion"/>
  <printOptions horizontalCentered="1"/>
  <pageMargins left="0.15748031496062992" right="0.15748031496062992" top="0.39370078740157483" bottom="0.98425196850393704" header="0.51181102362204722" footer="0.51181102362204722"/>
  <pageSetup paperSize="9" scale="95" orientation="portrait" r:id="rId1"/>
  <headerFooter scaleWithDoc="0"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
  <sheetViews>
    <sheetView workbookViewId="0">
      <selection activeCell="I8" sqref="I8"/>
    </sheetView>
  </sheetViews>
  <sheetFormatPr defaultColWidth="8.88671875" defaultRowHeight="13.2"/>
  <cols>
    <col min="1" max="1" width="35.77734375" style="31" customWidth="1"/>
    <col min="2" max="2" width="2.21875" style="31" customWidth="1"/>
    <col min="3" max="3" width="5.77734375" style="31" customWidth="1"/>
    <col min="4" max="4" width="17.33203125" style="31" customWidth="1"/>
    <col min="5" max="5" width="4.6640625" style="31" customWidth="1"/>
    <col min="6" max="6" width="13.77734375" style="31" customWidth="1"/>
    <col min="7" max="7" width="10.44140625" style="31" customWidth="1"/>
    <col min="8" max="8" width="12.6640625" style="31" customWidth="1"/>
    <col min="9" max="16384" width="8.88671875" style="31"/>
  </cols>
  <sheetData>
    <row r="1" spans="1:8" ht="69" customHeight="1">
      <c r="A1" s="295" t="s">
        <v>64</v>
      </c>
      <c r="B1" s="295"/>
      <c r="C1" s="295"/>
      <c r="D1" s="295"/>
      <c r="E1" s="295"/>
      <c r="F1" s="295"/>
      <c r="G1" s="295"/>
      <c r="H1" s="30"/>
    </row>
    <row r="2" spans="1:8" ht="21.75" customHeight="1">
      <c r="A2" s="82" t="s">
        <v>65</v>
      </c>
      <c r="B2" s="296" t="s">
        <v>66</v>
      </c>
      <c r="C2" s="297"/>
      <c r="D2" s="297"/>
      <c r="E2" s="297"/>
      <c r="F2" s="297"/>
      <c r="G2" s="298"/>
      <c r="H2" s="32"/>
    </row>
    <row r="3" spans="1:8" ht="21.75" customHeight="1">
      <c r="A3" s="82" t="s">
        <v>67</v>
      </c>
      <c r="B3" s="296" t="s">
        <v>66</v>
      </c>
      <c r="C3" s="297"/>
      <c r="D3" s="297"/>
      <c r="E3" s="297"/>
      <c r="F3" s="297"/>
      <c r="G3" s="298"/>
      <c r="H3" s="32"/>
    </row>
    <row r="4" spans="1:8" ht="23.25" customHeight="1">
      <c r="A4" s="82" t="s">
        <v>68</v>
      </c>
      <c r="B4" s="296" t="str">
        <f>源数据!B5</f>
        <v>DHL9072950143</v>
      </c>
      <c r="C4" s="297"/>
      <c r="D4" s="297"/>
      <c r="E4" s="297"/>
      <c r="F4" s="297"/>
      <c r="G4" s="298"/>
      <c r="H4" s="32"/>
    </row>
    <row r="5" spans="1:8" ht="40.5" customHeight="1">
      <c r="A5" s="82" t="s">
        <v>69</v>
      </c>
      <c r="B5" s="292" t="s">
        <v>70</v>
      </c>
      <c r="C5" s="293"/>
      <c r="D5" s="293"/>
      <c r="E5" s="293"/>
      <c r="F5" s="293"/>
      <c r="G5" s="294"/>
      <c r="H5" s="33"/>
    </row>
    <row r="6" spans="1:8" ht="40.5" customHeight="1">
      <c r="A6" s="82" t="s">
        <v>71</v>
      </c>
      <c r="B6" s="299" t="s">
        <v>72</v>
      </c>
      <c r="C6" s="300"/>
      <c r="D6" s="300"/>
      <c r="E6" s="300"/>
      <c r="F6" s="300"/>
      <c r="G6" s="301"/>
      <c r="H6" s="33"/>
    </row>
    <row r="7" spans="1:8" ht="71.400000000000006" customHeight="1">
      <c r="A7" s="82" t="s">
        <v>73</v>
      </c>
      <c r="B7" s="302">
        <v>202400915871422</v>
      </c>
      <c r="C7" s="303"/>
      <c r="D7" s="303"/>
      <c r="E7" s="304"/>
      <c r="F7" s="82" t="s">
        <v>74</v>
      </c>
      <c r="G7" s="83">
        <v>20231221</v>
      </c>
      <c r="H7" s="34"/>
    </row>
    <row r="8" spans="1:8" ht="39" customHeight="1">
      <c r="A8" s="82" t="s">
        <v>75</v>
      </c>
      <c r="B8" s="292" t="s">
        <v>76</v>
      </c>
      <c r="C8" s="293"/>
      <c r="D8" s="293"/>
      <c r="E8" s="293"/>
      <c r="F8" s="293"/>
      <c r="G8" s="294"/>
      <c r="H8" s="33"/>
    </row>
    <row r="9" spans="1:8" ht="21.75" customHeight="1">
      <c r="A9" s="82" t="s">
        <v>77</v>
      </c>
      <c r="B9" s="292" t="str">
        <f>源数据!B12</f>
        <v>纸箱</v>
      </c>
      <c r="C9" s="293"/>
      <c r="D9" s="293"/>
      <c r="E9" s="293"/>
      <c r="F9" s="293"/>
      <c r="G9" s="294"/>
      <c r="H9" s="32"/>
    </row>
    <row r="10" spans="1:8" ht="21.75" customHeight="1">
      <c r="A10" s="82" t="s">
        <v>78</v>
      </c>
      <c r="B10" s="292" t="s">
        <v>82</v>
      </c>
      <c r="C10" s="293"/>
      <c r="D10" s="293"/>
      <c r="E10" s="293"/>
      <c r="F10" s="293"/>
      <c r="G10" s="294"/>
      <c r="H10" s="32"/>
    </row>
    <row r="11" spans="1:8" ht="31.95" customHeight="1">
      <c r="A11" s="82" t="s">
        <v>79</v>
      </c>
      <c r="B11" s="292" t="str">
        <f>源数据!B6</f>
        <v>日本</v>
      </c>
      <c r="C11" s="293"/>
      <c r="D11" s="293"/>
      <c r="E11" s="293"/>
      <c r="F11" s="293"/>
      <c r="G11" s="294"/>
      <c r="H11" s="33"/>
    </row>
    <row r="12" spans="1:8" ht="163.19999999999999" customHeight="1">
      <c r="A12" s="286" t="s">
        <v>135</v>
      </c>
      <c r="B12" s="287"/>
      <c r="C12" s="287"/>
      <c r="D12" s="287"/>
      <c r="E12" s="287"/>
      <c r="F12" s="287"/>
      <c r="G12" s="288"/>
      <c r="H12" s="34"/>
    </row>
    <row r="13" spans="1:8" ht="84.6" customHeight="1">
      <c r="A13" s="286" t="s">
        <v>136</v>
      </c>
      <c r="B13" s="287"/>
      <c r="C13" s="287"/>
      <c r="D13" s="287"/>
      <c r="E13" s="287"/>
      <c r="F13" s="287"/>
      <c r="G13" s="288"/>
      <c r="H13" s="34"/>
    </row>
    <row r="14" spans="1:8" ht="105.75" customHeight="1">
      <c r="A14" s="289" t="s">
        <v>80</v>
      </c>
      <c r="B14" s="288"/>
      <c r="C14" s="289" t="s">
        <v>81</v>
      </c>
      <c r="D14" s="287"/>
      <c r="E14" s="287"/>
      <c r="F14" s="287"/>
      <c r="G14" s="288"/>
      <c r="H14" s="34"/>
    </row>
    <row r="15" spans="1:8" ht="61.5" customHeight="1">
      <c r="A15" s="290" t="s">
        <v>137</v>
      </c>
      <c r="B15" s="291"/>
      <c r="C15" s="291"/>
      <c r="D15" s="291"/>
      <c r="E15" s="291"/>
      <c r="F15" s="291"/>
      <c r="G15" s="291"/>
      <c r="H15" s="30"/>
    </row>
  </sheetData>
  <mergeCells count="16">
    <mergeCell ref="B11:G11"/>
    <mergeCell ref="A1:G1"/>
    <mergeCell ref="B2:G2"/>
    <mergeCell ref="B3:G3"/>
    <mergeCell ref="B5:G5"/>
    <mergeCell ref="B6:G6"/>
    <mergeCell ref="B7:E7"/>
    <mergeCell ref="B8:G8"/>
    <mergeCell ref="B9:G9"/>
    <mergeCell ref="B10:G10"/>
    <mergeCell ref="B4:G4"/>
    <mergeCell ref="A12:G12"/>
    <mergeCell ref="A13:G13"/>
    <mergeCell ref="A14:B14"/>
    <mergeCell ref="C14:G14"/>
    <mergeCell ref="A15:G15"/>
  </mergeCells>
  <phoneticPr fontId="2" type="noConversion"/>
  <printOptions horizontalCentered="1"/>
  <pageMargins left="0.15748031496062992" right="0.15748031496062992" top="0.59055118110236227" bottom="0.39370078740157483" header="0.31496062992125984" footer="0.3149606299212598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7"/>
  <sheetViews>
    <sheetView workbookViewId="0">
      <selection activeCell="L22" sqref="L22"/>
    </sheetView>
  </sheetViews>
  <sheetFormatPr defaultRowHeight="13.8"/>
  <cols>
    <col min="5" max="5" width="14.21875" customWidth="1"/>
    <col min="7" max="7" width="9.77734375" customWidth="1"/>
    <col min="8" max="8" width="21" customWidth="1"/>
  </cols>
  <sheetData>
    <row r="1" spans="1:8">
      <c r="A1" s="97"/>
      <c r="B1" s="97"/>
      <c r="C1" s="97"/>
      <c r="D1" s="97"/>
      <c r="E1" s="97"/>
      <c r="F1" s="97"/>
      <c r="G1" s="97"/>
      <c r="H1" s="97"/>
    </row>
    <row r="2" spans="1:8">
      <c r="A2" s="97"/>
      <c r="B2" s="97"/>
      <c r="C2" s="97"/>
      <c r="D2" s="97"/>
      <c r="E2" s="97"/>
      <c r="F2" s="97"/>
      <c r="G2" s="97"/>
      <c r="H2" s="97"/>
    </row>
    <row r="3" spans="1:8" ht="22.2">
      <c r="A3" s="97"/>
      <c r="B3" s="97"/>
      <c r="C3" s="98" t="s">
        <v>83</v>
      </c>
      <c r="D3" s="98"/>
      <c r="E3" s="98"/>
      <c r="F3" s="98"/>
      <c r="G3" s="97"/>
      <c r="H3" s="97"/>
    </row>
    <row r="4" spans="1:8">
      <c r="A4" s="97"/>
      <c r="B4" s="97"/>
      <c r="C4" s="97"/>
      <c r="D4" s="97"/>
      <c r="E4" s="97"/>
      <c r="F4" s="97"/>
      <c r="G4" s="97"/>
      <c r="H4" s="97"/>
    </row>
    <row r="5" spans="1:8">
      <c r="A5" s="99" t="s">
        <v>84</v>
      </c>
      <c r="B5" s="100"/>
      <c r="C5" s="100"/>
      <c r="D5" s="100"/>
      <c r="E5" s="100"/>
      <c r="F5" s="305" t="s">
        <v>219</v>
      </c>
      <c r="G5" s="306"/>
      <c r="H5" s="307"/>
    </row>
    <row r="6" spans="1:8">
      <c r="A6" s="101" t="s">
        <v>83</v>
      </c>
      <c r="B6" s="102"/>
      <c r="C6" s="102"/>
      <c r="D6" s="102"/>
      <c r="E6" s="102"/>
      <c r="F6" s="308"/>
      <c r="G6" s="309"/>
      <c r="H6" s="310"/>
    </row>
    <row r="7" spans="1:8">
      <c r="A7" s="101" t="str">
        <f>源数据!B14</f>
        <v>guxiaojuan</v>
      </c>
      <c r="B7" s="102"/>
      <c r="C7" s="102"/>
      <c r="D7" s="102"/>
      <c r="E7" s="102"/>
      <c r="F7" s="308"/>
      <c r="G7" s="309"/>
      <c r="H7" s="310"/>
    </row>
    <row r="8" spans="1:8">
      <c r="A8" s="101" t="s">
        <v>86</v>
      </c>
      <c r="B8" s="102"/>
      <c r="C8" s="102"/>
      <c r="D8" s="102"/>
      <c r="E8" s="102"/>
      <c r="F8" s="308"/>
      <c r="G8" s="309"/>
      <c r="H8" s="310"/>
    </row>
    <row r="9" spans="1:8">
      <c r="A9" s="101" t="s">
        <v>87</v>
      </c>
      <c r="B9" s="102"/>
      <c r="C9" s="102"/>
      <c r="D9" s="102"/>
      <c r="E9" s="102"/>
      <c r="F9" s="308"/>
      <c r="G9" s="309"/>
      <c r="H9" s="310"/>
    </row>
    <row r="10" spans="1:8">
      <c r="A10" s="101" t="s">
        <v>88</v>
      </c>
      <c r="B10" s="102"/>
      <c r="C10" s="102">
        <v>215635</v>
      </c>
      <c r="D10" s="102"/>
      <c r="E10" s="103"/>
      <c r="F10" s="308"/>
      <c r="G10" s="309"/>
      <c r="H10" s="310"/>
    </row>
    <row r="11" spans="1:8">
      <c r="A11" s="101" t="s">
        <v>89</v>
      </c>
      <c r="B11" s="102"/>
      <c r="C11" s="102"/>
      <c r="D11" s="102"/>
      <c r="E11" s="102"/>
      <c r="F11" s="308"/>
      <c r="G11" s="309"/>
      <c r="H11" s="310"/>
    </row>
    <row r="12" spans="1:8" ht="14.4" thickBot="1">
      <c r="A12" s="104" t="s">
        <v>90</v>
      </c>
      <c r="B12" s="105"/>
      <c r="C12" s="105"/>
      <c r="D12" s="105" t="s">
        <v>91</v>
      </c>
      <c r="E12" s="105"/>
      <c r="F12" s="311"/>
      <c r="G12" s="312"/>
      <c r="H12" s="313"/>
    </row>
    <row r="13" spans="1:8">
      <c r="A13" s="101" t="s">
        <v>92</v>
      </c>
      <c r="B13" s="102"/>
      <c r="C13" s="102"/>
      <c r="D13" s="102"/>
      <c r="E13" s="102"/>
      <c r="F13" s="106" t="s">
        <v>93</v>
      </c>
      <c r="G13" s="107">
        <f ca="1">源数据!B1</f>
        <v>45516.621498032408</v>
      </c>
      <c r="H13" s="108"/>
    </row>
    <row r="14" spans="1:8">
      <c r="A14" s="101" t="s">
        <v>220</v>
      </c>
      <c r="B14" s="102"/>
      <c r="C14" s="103"/>
      <c r="D14" s="102"/>
      <c r="E14" s="102"/>
      <c r="F14" s="109"/>
      <c r="G14" s="110"/>
      <c r="H14" s="111"/>
    </row>
    <row r="15" spans="1:8">
      <c r="A15" s="101" t="str">
        <f>源数据!B16</f>
        <v>Mr. OGAWA TAKASHI</v>
      </c>
      <c r="B15" s="102"/>
      <c r="C15" s="102"/>
      <c r="D15" s="102"/>
      <c r="E15" s="102"/>
      <c r="F15" s="112" t="s">
        <v>96</v>
      </c>
      <c r="G15" s="113"/>
      <c r="H15" s="114"/>
    </row>
    <row r="16" spans="1:8">
      <c r="A16" s="115" t="s">
        <v>221</v>
      </c>
      <c r="B16" s="116"/>
      <c r="C16" s="116"/>
      <c r="D16" s="116"/>
      <c r="E16" s="116"/>
      <c r="F16" s="109"/>
      <c r="G16" s="110"/>
      <c r="H16" s="111"/>
    </row>
    <row r="17" spans="1:8">
      <c r="A17" s="115"/>
      <c r="B17" s="116"/>
      <c r="C17" s="116"/>
      <c r="D17" s="116"/>
      <c r="E17" s="116"/>
      <c r="F17" s="112" t="s">
        <v>98</v>
      </c>
      <c r="G17" s="113"/>
      <c r="H17" s="114"/>
    </row>
    <row r="18" spans="1:8">
      <c r="A18" s="115"/>
      <c r="B18" s="116"/>
      <c r="C18" s="116"/>
      <c r="D18" s="116"/>
      <c r="E18" s="116"/>
      <c r="F18" s="109"/>
      <c r="G18" s="110"/>
      <c r="H18" s="111"/>
    </row>
    <row r="19" spans="1:8">
      <c r="A19" s="115" t="s">
        <v>101</v>
      </c>
      <c r="B19" s="116"/>
      <c r="C19" s="116"/>
      <c r="D19" s="116"/>
      <c r="E19" s="116"/>
      <c r="F19" s="112" t="s">
        <v>100</v>
      </c>
      <c r="G19" s="113"/>
      <c r="H19" s="114" t="str">
        <f>源数据!B5</f>
        <v>DHL9072950143</v>
      </c>
    </row>
    <row r="20" spans="1:8">
      <c r="A20" s="115"/>
      <c r="B20" s="116"/>
      <c r="C20" s="116"/>
      <c r="D20" s="116"/>
      <c r="E20" s="116"/>
      <c r="F20" s="109"/>
      <c r="G20" s="110"/>
      <c r="H20" s="111"/>
    </row>
    <row r="21" spans="1:8">
      <c r="A21" s="115" t="s">
        <v>222</v>
      </c>
      <c r="B21" s="116"/>
      <c r="C21" s="116"/>
      <c r="D21" s="116" t="s">
        <v>223</v>
      </c>
      <c r="E21" s="116"/>
      <c r="F21" s="106" t="s">
        <v>102</v>
      </c>
      <c r="G21" s="117"/>
      <c r="H21" s="118"/>
    </row>
    <row r="22" spans="1:8">
      <c r="A22" s="119"/>
      <c r="B22" s="120"/>
      <c r="C22" s="120"/>
      <c r="D22" s="120"/>
      <c r="E22" s="120"/>
      <c r="F22" s="106"/>
      <c r="G22" s="117"/>
      <c r="H22" s="121"/>
    </row>
    <row r="23" spans="1:8">
      <c r="A23" s="106" t="s">
        <v>224</v>
      </c>
      <c r="B23" s="117"/>
      <c r="C23" s="113"/>
      <c r="D23" s="113"/>
      <c r="E23" s="113"/>
      <c r="F23" s="112"/>
      <c r="G23" s="113"/>
      <c r="H23" s="114"/>
    </row>
    <row r="24" spans="1:8">
      <c r="A24" s="106"/>
      <c r="B24" s="117"/>
      <c r="C24" s="117"/>
      <c r="D24" s="117"/>
      <c r="E24" s="117"/>
      <c r="F24" s="106"/>
      <c r="G24" s="117"/>
      <c r="H24" s="121"/>
    </row>
    <row r="25" spans="1:8">
      <c r="A25" s="106"/>
      <c r="B25" s="117"/>
      <c r="C25" s="117"/>
      <c r="D25" s="117"/>
      <c r="E25" s="117"/>
      <c r="F25" s="106"/>
      <c r="G25" s="117"/>
      <c r="H25" s="121"/>
    </row>
    <row r="26" spans="1:8">
      <c r="A26" s="106"/>
      <c r="B26" s="117"/>
      <c r="C26" s="117"/>
      <c r="D26" s="117"/>
      <c r="E26" s="117"/>
      <c r="F26" s="106"/>
      <c r="G26" s="117"/>
      <c r="H26" s="121"/>
    </row>
    <row r="27" spans="1:8">
      <c r="A27" s="106"/>
      <c r="B27" s="117"/>
      <c r="C27" s="117"/>
      <c r="D27" s="117"/>
      <c r="E27" s="117"/>
      <c r="F27" s="106"/>
      <c r="G27" s="117"/>
      <c r="H27" s="121"/>
    </row>
    <row r="28" spans="1:8">
      <c r="A28" s="106"/>
      <c r="B28" s="110"/>
      <c r="C28" s="110"/>
      <c r="D28" s="110"/>
      <c r="E28" s="110"/>
      <c r="F28" s="109"/>
      <c r="G28" s="110"/>
      <c r="H28" s="111"/>
    </row>
    <row r="29" spans="1:8">
      <c r="A29" s="122" t="s">
        <v>105</v>
      </c>
      <c r="B29" s="123"/>
      <c r="C29" s="124"/>
      <c r="D29" s="125" t="s">
        <v>106</v>
      </c>
      <c r="E29" s="126" t="s">
        <v>107</v>
      </c>
      <c r="F29" s="126" t="s">
        <v>225</v>
      </c>
      <c r="G29" s="126" t="s">
        <v>233</v>
      </c>
      <c r="H29" s="126" t="s">
        <v>110</v>
      </c>
    </row>
    <row r="30" spans="1:8">
      <c r="A30" s="112"/>
      <c r="B30" s="127" t="s">
        <v>226</v>
      </c>
      <c r="C30" s="114"/>
      <c r="D30" s="128" t="str">
        <f>源数据!B9&amp;"kg"</f>
        <v>0.8kg</v>
      </c>
      <c r="E30" s="129"/>
      <c r="F30" s="130" t="str">
        <f>"$"&amp;源数据!B15</f>
        <v>$5</v>
      </c>
      <c r="G30" s="130" t="str">
        <f>"$"&amp;源数据!B11</f>
        <v>$4</v>
      </c>
      <c r="H30" s="131" t="s">
        <v>112</v>
      </c>
    </row>
    <row r="31" spans="1:8">
      <c r="A31" s="106"/>
      <c r="B31" s="117"/>
      <c r="C31" s="121"/>
      <c r="D31" s="129"/>
      <c r="E31" s="129"/>
      <c r="F31" s="129"/>
      <c r="G31" s="129"/>
      <c r="H31" s="129"/>
    </row>
    <row r="32" spans="1:8">
      <c r="A32" s="106"/>
      <c r="B32" s="117"/>
      <c r="C32" s="121"/>
      <c r="D32" s="129"/>
      <c r="E32" s="129"/>
      <c r="F32" s="129"/>
      <c r="G32" s="129"/>
      <c r="H32" s="129"/>
    </row>
    <row r="33" spans="1:8">
      <c r="A33" s="106"/>
      <c r="B33" s="117"/>
      <c r="C33" s="121"/>
      <c r="D33" s="129"/>
      <c r="E33" s="129"/>
      <c r="F33" s="129"/>
      <c r="G33" s="129"/>
      <c r="H33" s="129"/>
    </row>
    <row r="34" spans="1:8">
      <c r="A34" s="106"/>
      <c r="B34" s="117"/>
      <c r="C34" s="121"/>
      <c r="D34" s="129"/>
      <c r="E34" s="129"/>
      <c r="F34" s="129"/>
      <c r="G34" s="129"/>
      <c r="H34" s="129"/>
    </row>
    <row r="35" spans="1:8">
      <c r="A35" s="106"/>
      <c r="B35" s="117"/>
      <c r="C35" s="121"/>
      <c r="D35" s="129"/>
      <c r="E35" s="129"/>
      <c r="F35" s="129" t="s">
        <v>227</v>
      </c>
      <c r="G35" s="129"/>
      <c r="H35" s="129"/>
    </row>
    <row r="36" spans="1:8">
      <c r="A36" s="106"/>
      <c r="B36" s="117"/>
      <c r="C36" s="121"/>
      <c r="D36" s="129"/>
      <c r="E36" s="129"/>
      <c r="F36" s="129"/>
      <c r="G36" s="129"/>
      <c r="H36" s="129"/>
    </row>
    <row r="37" spans="1:8">
      <c r="A37" s="106"/>
      <c r="B37" s="117"/>
      <c r="C37" s="121"/>
      <c r="D37" s="129"/>
      <c r="E37" s="129"/>
      <c r="F37" s="129"/>
      <c r="G37" s="129"/>
      <c r="H37" s="129"/>
    </row>
    <row r="38" spans="1:8">
      <c r="A38" s="106"/>
      <c r="B38" s="117"/>
      <c r="C38" s="121"/>
      <c r="D38" s="129"/>
      <c r="E38" s="129"/>
      <c r="F38" s="129"/>
      <c r="G38" s="129"/>
      <c r="H38" s="129"/>
    </row>
    <row r="39" spans="1:8">
      <c r="A39" s="106"/>
      <c r="B39" s="117"/>
      <c r="C39" s="121"/>
      <c r="D39" s="129"/>
      <c r="E39" s="129"/>
      <c r="F39" s="97"/>
      <c r="G39" s="129"/>
      <c r="H39" s="129"/>
    </row>
    <row r="40" spans="1:8">
      <c r="A40" s="109"/>
      <c r="B40" s="110"/>
      <c r="C40" s="111"/>
      <c r="D40" s="132"/>
      <c r="E40" s="132"/>
      <c r="F40" s="132"/>
      <c r="G40" s="132"/>
      <c r="H40" s="132"/>
    </row>
    <row r="41" spans="1:8">
      <c r="A41" s="97"/>
      <c r="B41" s="97"/>
      <c r="C41" s="97"/>
      <c r="D41" s="122" t="s">
        <v>228</v>
      </c>
      <c r="E41" s="123"/>
      <c r="F41" s="133" t="str">
        <f>"$"&amp;源数据!B11</f>
        <v>$4</v>
      </c>
      <c r="G41" s="123"/>
      <c r="H41" s="124"/>
    </row>
    <row r="42" spans="1:8">
      <c r="A42" s="97" t="s">
        <v>114</v>
      </c>
      <c r="B42" s="97"/>
      <c r="C42" s="97"/>
      <c r="D42" s="122" t="s">
        <v>229</v>
      </c>
      <c r="E42" s="123">
        <f>源数据!B8</f>
        <v>1</v>
      </c>
      <c r="F42" s="110"/>
      <c r="G42" s="123"/>
      <c r="H42" s="124"/>
    </row>
    <row r="43" spans="1:8">
      <c r="A43" s="97" t="s">
        <v>115</v>
      </c>
      <c r="B43" s="97"/>
      <c r="C43" s="97"/>
      <c r="D43" s="97"/>
      <c r="E43" s="97" t="s">
        <v>230</v>
      </c>
      <c r="F43" s="97"/>
      <c r="G43" s="97"/>
      <c r="H43" s="97"/>
    </row>
    <row r="44" spans="1:8">
      <c r="A44" s="97" t="s">
        <v>116</v>
      </c>
      <c r="B44" s="97"/>
      <c r="C44" s="97"/>
      <c r="D44" s="97" t="s">
        <v>117</v>
      </c>
      <c r="E44" s="97"/>
      <c r="F44" s="97"/>
      <c r="G44" s="97"/>
      <c r="H44" s="97"/>
    </row>
    <row r="45" spans="1:8">
      <c r="A45" s="97" t="s">
        <v>118</v>
      </c>
      <c r="B45" s="97"/>
      <c r="C45" s="97"/>
      <c r="D45" s="97"/>
      <c r="E45" s="97"/>
      <c r="F45" s="97"/>
      <c r="G45" s="97"/>
      <c r="H45" s="97"/>
    </row>
    <row r="46" spans="1:8">
      <c r="A46" s="97" t="s">
        <v>119</v>
      </c>
      <c r="B46" s="97"/>
      <c r="C46" s="97"/>
      <c r="D46" s="97"/>
      <c r="E46" s="97"/>
      <c r="F46" s="97"/>
      <c r="G46" s="97"/>
      <c r="H46" s="97"/>
    </row>
    <row r="47" spans="1:8">
      <c r="A47" s="97"/>
      <c r="B47" s="97"/>
      <c r="C47" s="97"/>
      <c r="D47" s="97"/>
      <c r="E47" s="97"/>
      <c r="F47" s="97"/>
      <c r="G47" s="97"/>
      <c r="H47" s="97"/>
    </row>
    <row r="48" spans="1:8">
      <c r="A48" s="97"/>
      <c r="B48" s="97"/>
      <c r="C48" s="97"/>
      <c r="D48" s="97"/>
      <c r="E48" s="97"/>
      <c r="F48" s="97"/>
      <c r="G48" s="97"/>
      <c r="H48" s="97"/>
    </row>
    <row r="49" spans="1:8">
      <c r="A49" s="97"/>
      <c r="B49" s="97"/>
      <c r="C49" s="97"/>
      <c r="D49" s="97"/>
      <c r="E49" s="97"/>
      <c r="F49" s="97"/>
      <c r="G49" s="97"/>
      <c r="H49" s="97"/>
    </row>
    <row r="50" spans="1:8">
      <c r="A50" s="97"/>
      <c r="B50" s="97"/>
      <c r="C50" s="97"/>
      <c r="D50" s="97"/>
      <c r="E50" s="97"/>
      <c r="F50" s="97"/>
      <c r="G50" s="97"/>
      <c r="H50" s="97"/>
    </row>
    <row r="51" spans="1:8">
      <c r="A51" s="134" t="s">
        <v>231</v>
      </c>
      <c r="B51" s="97"/>
      <c r="C51" s="97"/>
      <c r="D51" s="97"/>
      <c r="E51" s="97"/>
      <c r="F51" s="97"/>
      <c r="G51" s="97"/>
      <c r="H51" s="97"/>
    </row>
    <row r="52" spans="1:8">
      <c r="A52" s="135"/>
      <c r="B52" s="97"/>
      <c r="C52" s="97"/>
      <c r="D52" s="97"/>
      <c r="E52" s="97"/>
      <c r="F52" s="97"/>
      <c r="G52" s="97"/>
      <c r="H52" s="97"/>
    </row>
    <row r="53" spans="1:8">
      <c r="A53" s="97"/>
      <c r="B53" s="97"/>
      <c r="C53" s="97"/>
      <c r="D53" s="97"/>
      <c r="E53" s="97"/>
      <c r="F53" s="97"/>
      <c r="G53" s="97"/>
      <c r="H53" s="97"/>
    </row>
    <row r="54" spans="1:8">
      <c r="A54" s="97"/>
      <c r="B54" s="97"/>
      <c r="C54" s="97"/>
      <c r="D54" s="97"/>
      <c r="E54" s="97"/>
      <c r="F54" s="97"/>
      <c r="G54" s="97"/>
      <c r="H54" s="97"/>
    </row>
    <row r="55" spans="1:8">
      <c r="A55" s="97" t="s">
        <v>121</v>
      </c>
      <c r="B55" s="110"/>
      <c r="C55" s="97"/>
      <c r="D55" s="97"/>
      <c r="E55" s="97"/>
      <c r="F55" s="97"/>
      <c r="G55" s="97"/>
      <c r="H55" s="97"/>
    </row>
    <row r="56" spans="1:8">
      <c r="A56" s="97" t="s">
        <v>122</v>
      </c>
      <c r="B56" s="97"/>
      <c r="C56" s="97"/>
      <c r="D56" s="97"/>
      <c r="E56" s="97"/>
      <c r="F56" s="97"/>
      <c r="G56" s="97"/>
      <c r="H56" s="97"/>
    </row>
    <row r="57" spans="1:8">
      <c r="A57" s="97" t="s">
        <v>123</v>
      </c>
      <c r="B57" s="97"/>
      <c r="C57" s="110"/>
      <c r="D57" s="97" t="s">
        <v>124</v>
      </c>
      <c r="E57" s="97"/>
      <c r="F57" s="97"/>
      <c r="G57" s="97"/>
      <c r="H57" s="97"/>
    </row>
  </sheetData>
  <mergeCells count="1">
    <mergeCell ref="F5:H12"/>
  </mergeCells>
  <phoneticPr fontId="2" type="noConversion"/>
  <pageMargins left="0.51181102362204722" right="0.51181102362204722" top="0.74803149606299213" bottom="0.74803149606299213" header="0.31496062992125984" footer="0.31496062992125984"/>
  <pageSetup paperSize="9" orientation="portrait" horizontalDpi="180" verticalDpi="18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8"/>
  <sheetViews>
    <sheetView zoomScaleNormal="100" workbookViewId="0">
      <selection activeCell="E7" sqref="E7"/>
    </sheetView>
  </sheetViews>
  <sheetFormatPr defaultRowHeight="13.8"/>
  <cols>
    <col min="1" max="1" width="23.77734375" customWidth="1"/>
    <col min="2" max="2" width="72.88671875" customWidth="1"/>
  </cols>
  <sheetData>
    <row r="2" spans="1:2" ht="49.95" customHeight="1">
      <c r="A2" s="94" t="s">
        <v>215</v>
      </c>
      <c r="B2" s="95" t="str">
        <f>源数据!B3</f>
        <v>钛酸钾（钛拉塞斯）</v>
      </c>
    </row>
    <row r="3" spans="1:2" ht="49.95" customHeight="1">
      <c r="A3" s="94" t="s">
        <v>208</v>
      </c>
      <c r="B3" s="95" t="s">
        <v>216</v>
      </c>
    </row>
    <row r="4" spans="1:2" ht="49.95" customHeight="1">
      <c r="A4" s="94" t="s">
        <v>209</v>
      </c>
      <c r="B4" s="95" t="str">
        <f>源数据!B2</f>
        <v>张家港大塚化学有限公司</v>
      </c>
    </row>
    <row r="5" spans="1:2" ht="49.95" customHeight="1">
      <c r="A5" s="94" t="s">
        <v>217</v>
      </c>
      <c r="B5" s="95" t="s">
        <v>213</v>
      </c>
    </row>
    <row r="6" spans="1:2" ht="49.95" customHeight="1">
      <c r="A6" s="94" t="s">
        <v>210</v>
      </c>
      <c r="B6" s="95" t="s">
        <v>214</v>
      </c>
    </row>
    <row r="7" spans="1:2" ht="49.95" customHeight="1">
      <c r="A7" s="94" t="s">
        <v>211</v>
      </c>
      <c r="B7" s="95" t="s">
        <v>218</v>
      </c>
    </row>
    <row r="8" spans="1:2" ht="49.95" customHeight="1">
      <c r="A8" s="94" t="s">
        <v>212</v>
      </c>
      <c r="B8" s="96" t="str">
        <f>源数据!B5</f>
        <v>DHL9072950143</v>
      </c>
    </row>
  </sheetData>
  <phoneticPr fontId="2" type="noConversion"/>
  <printOptions horizontalCentered="1"/>
  <pageMargins left="0.19685039370078741" right="0.19685039370078741" top="0.74803149606299213" bottom="0.74803149606299213" header="0.31496062992125984" footer="0.31496062992125984"/>
  <pageSetup paperSize="9" scale="91"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C20"/>
  <sheetViews>
    <sheetView tabSelected="1" workbookViewId="0">
      <selection activeCell="B11" sqref="B11"/>
    </sheetView>
  </sheetViews>
  <sheetFormatPr defaultColWidth="8.88671875" defaultRowHeight="13.8"/>
  <cols>
    <col min="1" max="1" width="15.88671875" style="87" customWidth="1"/>
    <col min="2" max="2" width="31.44140625" style="93" customWidth="1"/>
    <col min="3" max="3" width="16.109375" style="87" bestFit="1" customWidth="1"/>
    <col min="4" max="16384" width="8.88671875" style="87"/>
  </cols>
  <sheetData>
    <row r="1" spans="1:3" s="93" customFormat="1" ht="25.2" customHeight="1">
      <c r="A1" s="91" t="s">
        <v>125</v>
      </c>
      <c r="B1" s="140">
        <f ca="1">NOW()</f>
        <v>45516.621498032408</v>
      </c>
      <c r="C1" s="92" t="s">
        <v>201</v>
      </c>
    </row>
    <row r="2" spans="1:3" ht="25.2" customHeight="1">
      <c r="A2" s="90" t="s">
        <v>138</v>
      </c>
      <c r="B2" s="89" t="s">
        <v>202</v>
      </c>
      <c r="C2" s="90"/>
    </row>
    <row r="3" spans="1:3" ht="25.2" customHeight="1">
      <c r="A3" s="90" t="s">
        <v>139</v>
      </c>
      <c r="B3" s="91" t="s">
        <v>203</v>
      </c>
      <c r="C3" s="90"/>
    </row>
    <row r="4" spans="1:3" ht="25.2" customHeight="1">
      <c r="A4" s="90" t="s">
        <v>140</v>
      </c>
      <c r="B4" s="91">
        <v>2841900090</v>
      </c>
      <c r="C4" s="90"/>
    </row>
    <row r="5" spans="1:3" ht="25.2" customHeight="1">
      <c r="A5" s="90" t="s">
        <v>126</v>
      </c>
      <c r="B5" s="91" t="s">
        <v>243</v>
      </c>
      <c r="C5" s="90"/>
    </row>
    <row r="6" spans="1:3" ht="25.2" customHeight="1">
      <c r="A6" s="90" t="s">
        <v>128</v>
      </c>
      <c r="B6" s="91" t="s">
        <v>240</v>
      </c>
      <c r="C6" s="90"/>
    </row>
    <row r="7" spans="1:3" ht="25.2" customHeight="1">
      <c r="A7" s="90" t="s">
        <v>204</v>
      </c>
      <c r="B7" s="91" t="s">
        <v>207</v>
      </c>
      <c r="C7" s="90"/>
    </row>
    <row r="8" spans="1:3" ht="25.2" customHeight="1">
      <c r="A8" s="90" t="s">
        <v>130</v>
      </c>
      <c r="B8" s="91">
        <v>1</v>
      </c>
      <c r="C8" s="90"/>
    </row>
    <row r="9" spans="1:3" ht="25.2" customHeight="1">
      <c r="A9" s="90" t="s">
        <v>238</v>
      </c>
      <c r="B9" s="91">
        <v>0.8</v>
      </c>
      <c r="C9" s="90"/>
    </row>
    <row r="10" spans="1:3" s="137" customFormat="1" ht="25.2" customHeight="1">
      <c r="A10" s="136" t="s">
        <v>239</v>
      </c>
      <c r="B10" s="91">
        <v>0.8</v>
      </c>
      <c r="C10" s="136"/>
    </row>
    <row r="11" spans="1:3" ht="25.2" customHeight="1">
      <c r="A11" s="90" t="s">
        <v>132</v>
      </c>
      <c r="B11" s="91">
        <f>B9*B15</f>
        <v>4</v>
      </c>
      <c r="C11" s="90"/>
    </row>
    <row r="12" spans="1:3" ht="25.2" customHeight="1">
      <c r="A12" s="90" t="s">
        <v>129</v>
      </c>
      <c r="B12" s="91" t="s">
        <v>131</v>
      </c>
      <c r="C12" s="90"/>
    </row>
    <row r="13" spans="1:3" ht="25.2" customHeight="1">
      <c r="A13" s="90" t="s">
        <v>146</v>
      </c>
      <c r="B13" s="91" t="s">
        <v>237</v>
      </c>
      <c r="C13" s="90"/>
    </row>
    <row r="14" spans="1:3" ht="25.2" customHeight="1">
      <c r="A14" s="90" t="s">
        <v>234</v>
      </c>
      <c r="B14" s="91" t="s">
        <v>244</v>
      </c>
      <c r="C14" s="90"/>
    </row>
    <row r="15" spans="1:3" ht="25.2" customHeight="1">
      <c r="A15" s="90" t="s">
        <v>232</v>
      </c>
      <c r="B15" s="91">
        <v>5</v>
      </c>
      <c r="C15" s="90"/>
    </row>
    <row r="16" spans="1:3" ht="25.2" customHeight="1">
      <c r="A16" s="90" t="s">
        <v>235</v>
      </c>
      <c r="B16" s="91" t="s">
        <v>245</v>
      </c>
      <c r="C16" s="90"/>
    </row>
    <row r="17" spans="1:3" s="138" customFormat="1" ht="25.2" customHeight="1">
      <c r="A17" s="139" t="s">
        <v>241</v>
      </c>
      <c r="B17" s="91" t="s">
        <v>242</v>
      </c>
      <c r="C17" s="139"/>
    </row>
    <row r="18" spans="1:3" ht="25.2" customHeight="1"/>
    <row r="19" spans="1:3" ht="25.2" customHeight="1"/>
    <row r="20" spans="1:3" ht="25.2" customHeight="1"/>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2</vt:i4>
      </vt:variant>
    </vt:vector>
  </HeadingPairs>
  <TitlesOfParts>
    <vt:vector size="9" baseType="lpstr">
      <vt:lpstr>出口货物报关单</vt:lpstr>
      <vt:lpstr>报关委托书</vt:lpstr>
      <vt:lpstr>装箱单</vt:lpstr>
      <vt:lpstr>货物运输安全保证函2份</vt:lpstr>
      <vt:lpstr>发票2份</vt:lpstr>
      <vt:lpstr>唛头1份</vt:lpstr>
      <vt:lpstr>源数据</vt:lpstr>
      <vt:lpstr>报关委托书!Print_Area</vt:lpstr>
      <vt:lpstr>出口货物报关单!Print_Area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2024-08-12T06:55:57Z</dcterms:modified>
</cp:coreProperties>
</file>